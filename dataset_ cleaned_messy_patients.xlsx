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F309DAD-8BA2-4B0C-9FD9-5B9B89CE09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3" sheetId="3" r:id="rId2"/>
    <sheet name="Charts" sheetId="4" r:id="rId3"/>
    <sheet name="Sheet5" sheetId="5" r:id="rId4"/>
    <sheet name="Sheet1" sheetId="1" r:id="rId5"/>
  </sheet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B2" i="4"/>
  <c r="K5" i="1" a="1"/>
  <c r="K4" i="1"/>
  <c r="K3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<sst xmlns="http://schemas.openxmlformats.org/spreadsheetml/2006/main" count="1555" uniqueCount="647">
  <si>
    <t>PatientID</t>
  </si>
  <si>
    <t>Name</t>
  </si>
  <si>
    <t>Age</t>
  </si>
  <si>
    <t>Gender</t>
  </si>
  <si>
    <t>Disease</t>
  </si>
  <si>
    <t>Medication</t>
  </si>
  <si>
    <t>Dosage</t>
  </si>
  <si>
    <t>P1155</t>
  </si>
  <si>
    <t>P1169</t>
  </si>
  <si>
    <t>P1123</t>
  </si>
  <si>
    <t>P1115</t>
  </si>
  <si>
    <t>P1258</t>
  </si>
  <si>
    <t>P1260</t>
  </si>
  <si>
    <t>P1270</t>
  </si>
  <si>
    <t>P1158</t>
  </si>
  <si>
    <t>P1057</t>
  </si>
  <si>
    <t>P1008</t>
  </si>
  <si>
    <t>P1285</t>
  </si>
  <si>
    <t>P1246</t>
  </si>
  <si>
    <t>P1208</t>
  </si>
  <si>
    <t>P1277</t>
  </si>
  <si>
    <t>P1085</t>
  </si>
  <si>
    <t>P1253</t>
  </si>
  <si>
    <t>P1074</t>
  </si>
  <si>
    <t>P1110</t>
  </si>
  <si>
    <t>P1032</t>
  </si>
  <si>
    <t>P1135</t>
  </si>
  <si>
    <t>P1197</t>
  </si>
  <si>
    <t>P1196</t>
  </si>
  <si>
    <t>P1083</t>
  </si>
  <si>
    <t>P1228</t>
  </si>
  <si>
    <t>P1147</t>
  </si>
  <si>
    <t>P1291</t>
  </si>
  <si>
    <t>P1080</t>
  </si>
  <si>
    <t>P1245</t>
  </si>
  <si>
    <t>P1081</t>
  </si>
  <si>
    <t>P1095</t>
  </si>
  <si>
    <t>P1144</t>
  </si>
  <si>
    <t>P1237</t>
  </si>
  <si>
    <t>P1119</t>
  </si>
  <si>
    <t>P1067</t>
  </si>
  <si>
    <t>P1011</t>
  </si>
  <si>
    <t>P1137</t>
  </si>
  <si>
    <t>P1127</t>
  </si>
  <si>
    <t>P1062</t>
  </si>
  <si>
    <t>P1164</t>
  </si>
  <si>
    <t>P1267</t>
  </si>
  <si>
    <t>P1160</t>
  </si>
  <si>
    <t>P1075</t>
  </si>
  <si>
    <t>P1076</t>
  </si>
  <si>
    <t>P1077</t>
  </si>
  <si>
    <t>P1187</t>
  </si>
  <si>
    <t>P1039</t>
  </si>
  <si>
    <t>P1230</t>
  </si>
  <si>
    <t>P1165</t>
  </si>
  <si>
    <t>P1017</t>
  </si>
  <si>
    <t>P1060</t>
  </si>
  <si>
    <t>P1288</t>
  </si>
  <si>
    <t>P1006</t>
  </si>
  <si>
    <t>P1262</t>
  </si>
  <si>
    <t>P1015</t>
  </si>
  <si>
    <t>P1048</t>
  </si>
  <si>
    <t>P1047</t>
  </si>
  <si>
    <t>P1261</t>
  </si>
  <si>
    <t>P1276</t>
  </si>
  <si>
    <t>P1238</t>
  </si>
  <si>
    <t>P1016</t>
  </si>
  <si>
    <t>P1255</t>
  </si>
  <si>
    <t>P1031</t>
  </si>
  <si>
    <t>P1214</t>
  </si>
  <si>
    <t>P1102</t>
  </si>
  <si>
    <t>P1129</t>
  </si>
  <si>
    <t>P1204</t>
  </si>
  <si>
    <t>P1026</t>
  </si>
  <si>
    <t>P1068</t>
  </si>
  <si>
    <t>P1066</t>
  </si>
  <si>
    <t>P1104</t>
  </si>
  <si>
    <t>P1128</t>
  </si>
  <si>
    <t>P1106</t>
  </si>
  <si>
    <t>P1131</t>
  </si>
  <si>
    <t>P1234</t>
  </si>
  <si>
    <t>P1269</t>
  </si>
  <si>
    <t>P1103</t>
  </si>
  <si>
    <t>P1116</t>
  </si>
  <si>
    <t>P1141</t>
  </si>
  <si>
    <t>P1156</t>
  </si>
  <si>
    <t>P1059</t>
  </si>
  <si>
    <t>P1043</t>
  </si>
  <si>
    <t>P1005</t>
  </si>
  <si>
    <t>P1188</t>
  </si>
  <si>
    <t>P1195</t>
  </si>
  <si>
    <t>P1218</t>
  </si>
  <si>
    <t>P1211</t>
  </si>
  <si>
    <t>P1176</t>
  </si>
  <si>
    <t>P1078</t>
  </si>
  <si>
    <t>P1122</t>
  </si>
  <si>
    <t>P1071</t>
  </si>
  <si>
    <t>P1007</t>
  </si>
  <si>
    <t>P1284</t>
  </si>
  <si>
    <t>P1242</t>
  </si>
  <si>
    <t>P1199</t>
  </si>
  <si>
    <t>P1287</t>
  </si>
  <si>
    <t>P1152</t>
  </si>
  <si>
    <t>P1143</t>
  </si>
  <si>
    <t>P1038</t>
  </si>
  <si>
    <t>P1004</t>
  </si>
  <si>
    <t>P1201</t>
  </si>
  <si>
    <t>P1084</t>
  </si>
  <si>
    <t>P1079</t>
  </si>
  <si>
    <t>P1182</t>
  </si>
  <si>
    <t>P1212</t>
  </si>
  <si>
    <t>P1136</t>
  </si>
  <si>
    <t>P1163</t>
  </si>
  <si>
    <t>P1065</t>
  </si>
  <si>
    <t>P1229</t>
  </si>
  <si>
    <t>P1051</t>
  </si>
  <si>
    <t>P1024</t>
  </si>
  <si>
    <t>P1044</t>
  </si>
  <si>
    <t>P1099</t>
  </si>
  <si>
    <t>P1124</t>
  </si>
  <si>
    <t>P1025</t>
  </si>
  <si>
    <t>P1273</t>
  </si>
  <si>
    <t>P1219</t>
  </si>
  <si>
    <t>P1154</t>
  </si>
  <si>
    <t>P1290</t>
  </si>
  <si>
    <t>P1259</t>
  </si>
  <si>
    <t>P1161</t>
  </si>
  <si>
    <t>P1205</t>
  </si>
  <si>
    <t>P1231</t>
  </si>
  <si>
    <t>P1167</t>
  </si>
  <si>
    <t>P1041</t>
  </si>
  <si>
    <t>P1252</t>
  </si>
  <si>
    <t>P1046</t>
  </si>
  <si>
    <t>P1222</t>
  </si>
  <si>
    <t>P1180</t>
  </si>
  <si>
    <t>P1181</t>
  </si>
  <si>
    <t>P1150</t>
  </si>
  <si>
    <t>P1022</t>
  </si>
  <si>
    <t>P1109</t>
  </si>
  <si>
    <t>P1058</t>
  </si>
  <si>
    <t>P1206</t>
  </si>
  <si>
    <t>P1299</t>
  </si>
  <si>
    <t>P1030</t>
  </si>
  <si>
    <t>P1289</t>
  </si>
  <si>
    <t>P1133</t>
  </si>
  <si>
    <t>P1090</t>
  </si>
  <si>
    <t>P1035</t>
  </si>
  <si>
    <t>P1073</t>
  </si>
  <si>
    <t>P1293</t>
  </si>
  <si>
    <t>P1265</t>
  </si>
  <si>
    <t>P1140</t>
  </si>
  <si>
    <t>P1247</t>
  </si>
  <si>
    <t>P1112</t>
  </si>
  <si>
    <t>P1013</t>
  </si>
  <si>
    <t>P1088</t>
  </si>
  <si>
    <t>P1282</t>
  </si>
  <si>
    <t>P1097</t>
  </si>
  <si>
    <t>P1042</t>
  </si>
  <si>
    <t>P1064</t>
  </si>
  <si>
    <t>P1232</t>
  </si>
  <si>
    <t>P1014</t>
  </si>
  <si>
    <t>P1191</t>
  </si>
  <si>
    <t>P1018</t>
  </si>
  <si>
    <t>P1249</t>
  </si>
  <si>
    <t>P1190</t>
  </si>
  <si>
    <t>P1091</t>
  </si>
  <si>
    <t>P1052</t>
  </si>
  <si>
    <t>P1086</t>
  </si>
  <si>
    <t>P1125</t>
  </si>
  <si>
    <t>P1162</t>
  </si>
  <si>
    <t>P1089</t>
  </si>
  <si>
    <t>P1178</t>
  </si>
  <si>
    <t>P1198</t>
  </si>
  <si>
    <t>P1200</t>
  </si>
  <si>
    <t>P1040</t>
  </si>
  <si>
    <t>P1087</t>
  </si>
  <si>
    <t>P1117</t>
  </si>
  <si>
    <t>P1146</t>
  </si>
  <si>
    <t>P1159</t>
  </si>
  <si>
    <t>P1264</t>
  </si>
  <si>
    <t>P1272</t>
  </si>
  <si>
    <t>P1225</t>
  </si>
  <si>
    <t>P1292</t>
  </si>
  <si>
    <t>P1202</t>
  </si>
  <si>
    <t>P1171</t>
  </si>
  <si>
    <t>P1126</t>
  </si>
  <si>
    <t>P1266</t>
  </si>
  <si>
    <t>P1226</t>
  </si>
  <si>
    <t>P1072</t>
  </si>
  <si>
    <t>P1241</t>
  </si>
  <si>
    <t>P1271</t>
  </si>
  <si>
    <t>P1251</t>
  </si>
  <si>
    <t>P1256</t>
  </si>
  <si>
    <t>P1082</t>
  </si>
  <si>
    <t>P1096</t>
  </si>
  <si>
    <t>P1134</t>
  </si>
  <si>
    <t>P1215</t>
  </si>
  <si>
    <t>P1235</t>
  </si>
  <si>
    <t>P1138</t>
  </si>
  <si>
    <t>P1101</t>
  </si>
  <si>
    <t>P1283</t>
  </si>
  <si>
    <t>P1244</t>
  </si>
  <si>
    <t>P1300</t>
  </si>
  <si>
    <t>P1223</t>
  </si>
  <si>
    <t>P1295</t>
  </si>
  <si>
    <t>P1009</t>
  </si>
  <si>
    <t>P1108</t>
  </si>
  <si>
    <t>P1054</t>
  </si>
  <si>
    <t>P1028</t>
  </si>
  <si>
    <t>P1239</t>
  </si>
  <si>
    <t>P1061</t>
  </si>
  <si>
    <t>P1093</t>
  </si>
  <si>
    <t>P1033</t>
  </si>
  <si>
    <t>P1298</t>
  </si>
  <si>
    <t>P1186</t>
  </si>
  <si>
    <t>P1221</t>
  </si>
  <si>
    <t>P1023</t>
  </si>
  <si>
    <t>P1210</t>
  </si>
  <si>
    <t>P1063</t>
  </si>
  <si>
    <t>P1216</t>
  </si>
  <si>
    <t>P1268</t>
  </si>
  <si>
    <t>P1192</t>
  </si>
  <si>
    <t>P1019</t>
  </si>
  <si>
    <t>P1279</t>
  </si>
  <si>
    <t>P1053</t>
  </si>
  <si>
    <t>P1174</t>
  </si>
  <si>
    <t>P1036</t>
  </si>
  <si>
    <t>P1194</t>
  </si>
  <si>
    <t>P1179</t>
  </si>
  <si>
    <t>P1168</t>
  </si>
  <si>
    <t>P1227</t>
  </si>
  <si>
    <t>P1121</t>
  </si>
  <si>
    <t>P1145</t>
  </si>
  <si>
    <t>P1020</t>
  </si>
  <si>
    <t>P1045</t>
  </si>
  <si>
    <t>P1069</t>
  </si>
  <si>
    <t>P1209</t>
  </si>
  <si>
    <t>P1113</t>
  </si>
  <si>
    <t>P1213</t>
  </si>
  <si>
    <t>P1012</t>
  </si>
  <si>
    <t>P1056</t>
  </si>
  <si>
    <t>P1217</t>
  </si>
  <si>
    <t>P1189</t>
  </si>
  <si>
    <t>P1248</t>
  </si>
  <si>
    <t>P1240</t>
  </si>
  <si>
    <t>P1281</t>
  </si>
  <si>
    <t>P1010</t>
  </si>
  <si>
    <t>P1263</t>
  </si>
  <si>
    <t>P1274</t>
  </si>
  <si>
    <t>P1105</t>
  </si>
  <si>
    <t>P1280</t>
  </si>
  <si>
    <t>P1092</t>
  </si>
  <si>
    <t>P1183</t>
  </si>
  <si>
    <t>P1296</t>
  </si>
  <si>
    <t>P1173</t>
  </si>
  <si>
    <t>P1233</t>
  </si>
  <si>
    <t>P1037</t>
  </si>
  <si>
    <t>P1157</t>
  </si>
  <si>
    <t>P1003</t>
  </si>
  <si>
    <t>P1243</t>
  </si>
  <si>
    <t>P1049</t>
  </si>
  <si>
    <t>P1142</t>
  </si>
  <si>
    <t>P1224</t>
  </si>
  <si>
    <t>P1184</t>
  </si>
  <si>
    <t>P1220</t>
  </si>
  <si>
    <t>P1100</t>
  </si>
  <si>
    <t>P1236</t>
  </si>
  <si>
    <t>P1118</t>
  </si>
  <si>
    <t>P1002</t>
  </si>
  <si>
    <t>P1114</t>
  </si>
  <si>
    <t>P1297</t>
  </si>
  <si>
    <t>P1175</t>
  </si>
  <si>
    <t>P1254</t>
  </si>
  <si>
    <t>P1286</t>
  </si>
  <si>
    <t>P1185</t>
  </si>
  <si>
    <t>P1166</t>
  </si>
  <si>
    <t>P1275</t>
  </si>
  <si>
    <t>P1193</t>
  </si>
  <si>
    <t>P1001</t>
  </si>
  <si>
    <t>P1055</t>
  </si>
  <si>
    <t>P1029</t>
  </si>
  <si>
    <t>P1207</t>
  </si>
  <si>
    <t>P1050</t>
  </si>
  <si>
    <t>P1021</t>
  </si>
  <si>
    <t>P1294</t>
  </si>
  <si>
    <t>P1177</t>
  </si>
  <si>
    <t>P1034</t>
  </si>
  <si>
    <t>P1172</t>
  </si>
  <si>
    <t>P1107</t>
  </si>
  <si>
    <t>P1098</t>
  </si>
  <si>
    <t>P1111</t>
  </si>
  <si>
    <t>P1070</t>
  </si>
  <si>
    <t>P1130</t>
  </si>
  <si>
    <t>P1151</t>
  </si>
  <si>
    <t>P1027</t>
  </si>
  <si>
    <t>P1094</t>
  </si>
  <si>
    <t>P1149</t>
  </si>
  <si>
    <t>P1120</t>
  </si>
  <si>
    <t>P1139</t>
  </si>
  <si>
    <t>P1170</t>
  </si>
  <si>
    <t>P1203</t>
  </si>
  <si>
    <t>P1148</t>
  </si>
  <si>
    <t>P1278</t>
  </si>
  <si>
    <t>P1257</t>
  </si>
  <si>
    <t>P1132</t>
  </si>
  <si>
    <t>P1250</t>
  </si>
  <si>
    <t>P1153</t>
  </si>
  <si>
    <t>Patient_155</t>
  </si>
  <si>
    <t>Patient_169</t>
  </si>
  <si>
    <t>Patient_123</t>
  </si>
  <si>
    <t>Patient_115</t>
  </si>
  <si>
    <t>Patient_258</t>
  </si>
  <si>
    <t>Patient_260</t>
  </si>
  <si>
    <t>Patient_270</t>
  </si>
  <si>
    <t>Patient_158</t>
  </si>
  <si>
    <t>Patient_57</t>
  </si>
  <si>
    <t>Patient_8</t>
  </si>
  <si>
    <t>Patient_285</t>
  </si>
  <si>
    <t>Patient_246</t>
  </si>
  <si>
    <t>Patient_208</t>
  </si>
  <si>
    <t>Patient_277</t>
  </si>
  <si>
    <t>Patient_85</t>
  </si>
  <si>
    <t>Patient_253</t>
  </si>
  <si>
    <t>Patient_74</t>
  </si>
  <si>
    <t>Patient_110</t>
  </si>
  <si>
    <t>Patient_32</t>
  </si>
  <si>
    <t>Patient_135</t>
  </si>
  <si>
    <t>Patient_197</t>
  </si>
  <si>
    <t>Patient_196</t>
  </si>
  <si>
    <t>Patient_83</t>
  </si>
  <si>
    <t>Patient_228</t>
  </si>
  <si>
    <t>Patient_147</t>
  </si>
  <si>
    <t>Patient_291</t>
  </si>
  <si>
    <t>Patient_80</t>
  </si>
  <si>
    <t>Patient_245</t>
  </si>
  <si>
    <t>Patient_81</t>
  </si>
  <si>
    <t>Patient_95</t>
  </si>
  <si>
    <t>Patient_144</t>
  </si>
  <si>
    <t>Patient_237</t>
  </si>
  <si>
    <t>Patient_119</t>
  </si>
  <si>
    <t>Patient_67</t>
  </si>
  <si>
    <t>Patient_11</t>
  </si>
  <si>
    <t>Patient_137</t>
  </si>
  <si>
    <t>Patient_127</t>
  </si>
  <si>
    <t>Patient_62</t>
  </si>
  <si>
    <t>Patient_164</t>
  </si>
  <si>
    <t>Patient_267</t>
  </si>
  <si>
    <t>Patient_160</t>
  </si>
  <si>
    <t>Patient_75</t>
  </si>
  <si>
    <t>Patient_76</t>
  </si>
  <si>
    <t>Patient_77</t>
  </si>
  <si>
    <t>Patient_187</t>
  </si>
  <si>
    <t>Patient_39</t>
  </si>
  <si>
    <t>Patient_230</t>
  </si>
  <si>
    <t>Patient_165</t>
  </si>
  <si>
    <t>Patient_17</t>
  </si>
  <si>
    <t>Patient_60</t>
  </si>
  <si>
    <t>Patient_288</t>
  </si>
  <si>
    <t>Patient_6</t>
  </si>
  <si>
    <t>Patient_262</t>
  </si>
  <si>
    <t>Patient_15</t>
  </si>
  <si>
    <t>Patient_48</t>
  </si>
  <si>
    <t>Patient_47</t>
  </si>
  <si>
    <t>Patient_261</t>
  </si>
  <si>
    <t>Patient_276</t>
  </si>
  <si>
    <t>Patient_238</t>
  </si>
  <si>
    <t>Patient_16</t>
  </si>
  <si>
    <t>Patient_255</t>
  </si>
  <si>
    <t>Patient_31</t>
  </si>
  <si>
    <t>Patient_214</t>
  </si>
  <si>
    <t>Patient_102</t>
  </si>
  <si>
    <t>Patient_129</t>
  </si>
  <si>
    <t>Patient_204</t>
  </si>
  <si>
    <t>Patient_26</t>
  </si>
  <si>
    <t>Patient_68</t>
  </si>
  <si>
    <t>Patient_66</t>
  </si>
  <si>
    <t>Patient_104</t>
  </si>
  <si>
    <t>Patient_128</t>
  </si>
  <si>
    <t>Patient_106</t>
  </si>
  <si>
    <t>Patient_131</t>
  </si>
  <si>
    <t>Patient_234</t>
  </si>
  <si>
    <t>Patient_269</t>
  </si>
  <si>
    <t>Patient_103</t>
  </si>
  <si>
    <t>Patient_116</t>
  </si>
  <si>
    <t>Patient_141</t>
  </si>
  <si>
    <t>Patient_156</t>
  </si>
  <si>
    <t>Patient_59</t>
  </si>
  <si>
    <t>Patient_43</t>
  </si>
  <si>
    <t>Patient_5</t>
  </si>
  <si>
    <t>Patient_188</t>
  </si>
  <si>
    <t>Patient_195</t>
  </si>
  <si>
    <t>Patient_218</t>
  </si>
  <si>
    <t>Patient_211</t>
  </si>
  <si>
    <t>Patient_176</t>
  </si>
  <si>
    <t>Patient_78</t>
  </si>
  <si>
    <t>Patient_122</t>
  </si>
  <si>
    <t>Patient_71</t>
  </si>
  <si>
    <t>Patient_7</t>
  </si>
  <si>
    <t>Patient_284</t>
  </si>
  <si>
    <t>Patient_242</t>
  </si>
  <si>
    <t>Patient_199</t>
  </si>
  <si>
    <t>Patient_287</t>
  </si>
  <si>
    <t>Patient_152</t>
  </si>
  <si>
    <t>Patient_143</t>
  </si>
  <si>
    <t>Patient_38</t>
  </si>
  <si>
    <t>Patient_4</t>
  </si>
  <si>
    <t>Patient_201</t>
  </si>
  <si>
    <t>Patient_84</t>
  </si>
  <si>
    <t>Patient_79</t>
  </si>
  <si>
    <t>Patient_182</t>
  </si>
  <si>
    <t>Patient_212</t>
  </si>
  <si>
    <t>Patient_136</t>
  </si>
  <si>
    <t>Patient_163</t>
  </si>
  <si>
    <t>Patient_65</t>
  </si>
  <si>
    <t>Patient_229</t>
  </si>
  <si>
    <t>Patient_51</t>
  </si>
  <si>
    <t>Patient_24</t>
  </si>
  <si>
    <t>Patient_44</t>
  </si>
  <si>
    <t>Patient_99</t>
  </si>
  <si>
    <t>Patient_124</t>
  </si>
  <si>
    <t>Patient_25</t>
  </si>
  <si>
    <t>Patient_273</t>
  </si>
  <si>
    <t>Patient_219</t>
  </si>
  <si>
    <t>Patient_154</t>
  </si>
  <si>
    <t>Patient_290</t>
  </si>
  <si>
    <t>Patient_259</t>
  </si>
  <si>
    <t>Patient_161</t>
  </si>
  <si>
    <t>Patient_205</t>
  </si>
  <si>
    <t>Patient_231</t>
  </si>
  <si>
    <t>Patient_167</t>
  </si>
  <si>
    <t>Patient_41</t>
  </si>
  <si>
    <t>Patient_252</t>
  </si>
  <si>
    <t>Patient_46</t>
  </si>
  <si>
    <t>Patient_222</t>
  </si>
  <si>
    <t>Patient_180</t>
  </si>
  <si>
    <t>Patient_181</t>
  </si>
  <si>
    <t>Patient_150</t>
  </si>
  <si>
    <t>Patient_22</t>
  </si>
  <si>
    <t>Patient_109</t>
  </si>
  <si>
    <t>Patient_58</t>
  </si>
  <si>
    <t>Patient_206</t>
  </si>
  <si>
    <t>Patient_299</t>
  </si>
  <si>
    <t>Patient_30</t>
  </si>
  <si>
    <t>Patient_289</t>
  </si>
  <si>
    <t>Patient_133</t>
  </si>
  <si>
    <t>Patient_90</t>
  </si>
  <si>
    <t>Patient_35</t>
  </si>
  <si>
    <t>Patient_73</t>
  </si>
  <si>
    <t>Patient_293</t>
  </si>
  <si>
    <t>Patient_265</t>
  </si>
  <si>
    <t>Patient_140</t>
  </si>
  <si>
    <t>Patient_247</t>
  </si>
  <si>
    <t>Patient_112</t>
  </si>
  <si>
    <t>Patient_13</t>
  </si>
  <si>
    <t>Patient_88</t>
  </si>
  <si>
    <t>Patient_282</t>
  </si>
  <si>
    <t>Patient_97</t>
  </si>
  <si>
    <t>Patient_42</t>
  </si>
  <si>
    <t>Patient_64</t>
  </si>
  <si>
    <t>Patient_232</t>
  </si>
  <si>
    <t>Patient_14</t>
  </si>
  <si>
    <t>Patient_191</t>
  </si>
  <si>
    <t>Patient_18</t>
  </si>
  <si>
    <t>Patient_249</t>
  </si>
  <si>
    <t>Patient_190</t>
  </si>
  <si>
    <t>Patient_91</t>
  </si>
  <si>
    <t>Patient_52</t>
  </si>
  <si>
    <t>Patient_86</t>
  </si>
  <si>
    <t>Patient_125</t>
  </si>
  <si>
    <t>Patient_162</t>
  </si>
  <si>
    <t>Patient_89</t>
  </si>
  <si>
    <t>Patient_178</t>
  </si>
  <si>
    <t>Patient_198</t>
  </si>
  <si>
    <t>Patient_200</t>
  </si>
  <si>
    <t>Patient_40</t>
  </si>
  <si>
    <t>Patient_87</t>
  </si>
  <si>
    <t>Patient_117</t>
  </si>
  <si>
    <t>Patient_146</t>
  </si>
  <si>
    <t>Patient_159</t>
  </si>
  <si>
    <t>Patient_264</t>
  </si>
  <si>
    <t>Patient_272</t>
  </si>
  <si>
    <t>Patient_225</t>
  </si>
  <si>
    <t>Patient_292</t>
  </si>
  <si>
    <t>Patient_202</t>
  </si>
  <si>
    <t>Patient_171</t>
  </si>
  <si>
    <t>Patient_126</t>
  </si>
  <si>
    <t>Patient_266</t>
  </si>
  <si>
    <t>Patient_226</t>
  </si>
  <si>
    <t>Patient_72</t>
  </si>
  <si>
    <t>Patient_241</t>
  </si>
  <si>
    <t>Patient_271</t>
  </si>
  <si>
    <t>Patient_251</t>
  </si>
  <si>
    <t>Patient_256</t>
  </si>
  <si>
    <t>Patient_82</t>
  </si>
  <si>
    <t>Patient_96</t>
  </si>
  <si>
    <t>Patient_134</t>
  </si>
  <si>
    <t>Patient_215</t>
  </si>
  <si>
    <t>Patient_235</t>
  </si>
  <si>
    <t>Patient_138</t>
  </si>
  <si>
    <t>Patient_101</t>
  </si>
  <si>
    <t>Patient_283</t>
  </si>
  <si>
    <t>Patient_244</t>
  </si>
  <si>
    <t>Patient_300</t>
  </si>
  <si>
    <t>Patient_223</t>
  </si>
  <si>
    <t>Patient_295</t>
  </si>
  <si>
    <t>Patient_9</t>
  </si>
  <si>
    <t>Patient_108</t>
  </si>
  <si>
    <t>Patient_54</t>
  </si>
  <si>
    <t>Patient_28</t>
  </si>
  <si>
    <t>Patient_239</t>
  </si>
  <si>
    <t>Patient_61</t>
  </si>
  <si>
    <t>Patient_93</t>
  </si>
  <si>
    <t>Patient_33</t>
  </si>
  <si>
    <t>Patient_298</t>
  </si>
  <si>
    <t>Patient_186</t>
  </si>
  <si>
    <t>Patient_221</t>
  </si>
  <si>
    <t>Patient_23</t>
  </si>
  <si>
    <t>Patient_210</t>
  </si>
  <si>
    <t>Patient_63</t>
  </si>
  <si>
    <t>Patient_216</t>
  </si>
  <si>
    <t>Patient_268</t>
  </si>
  <si>
    <t>Patient_192</t>
  </si>
  <si>
    <t>Patient_19</t>
  </si>
  <si>
    <t>Patient_279</t>
  </si>
  <si>
    <t>Patient_53</t>
  </si>
  <si>
    <t>Patient_174</t>
  </si>
  <si>
    <t>Patient_36</t>
  </si>
  <si>
    <t>Patient_194</t>
  </si>
  <si>
    <t>Patient_179</t>
  </si>
  <si>
    <t>Patient_168</t>
  </si>
  <si>
    <t>Patient_227</t>
  </si>
  <si>
    <t>Patient_121</t>
  </si>
  <si>
    <t>Patient_145</t>
  </si>
  <si>
    <t>Patient_20</t>
  </si>
  <si>
    <t>Patient_45</t>
  </si>
  <si>
    <t>Patient_69</t>
  </si>
  <si>
    <t>Patient_209</t>
  </si>
  <si>
    <t>Patient_113</t>
  </si>
  <si>
    <t>Patient_213</t>
  </si>
  <si>
    <t>Patient_12</t>
  </si>
  <si>
    <t>Patient_56</t>
  </si>
  <si>
    <t>Patient_217</t>
  </si>
  <si>
    <t>Patient_189</t>
  </si>
  <si>
    <t>Patient_248</t>
  </si>
  <si>
    <t>Patient_240</t>
  </si>
  <si>
    <t>Patient_281</t>
  </si>
  <si>
    <t>Patient_10</t>
  </si>
  <si>
    <t>Patient_263</t>
  </si>
  <si>
    <t>Patient_274</t>
  </si>
  <si>
    <t>Patient_105</t>
  </si>
  <si>
    <t>Patient_280</t>
  </si>
  <si>
    <t>Patient_92</t>
  </si>
  <si>
    <t>Patient_183</t>
  </si>
  <si>
    <t>Patient_296</t>
  </si>
  <si>
    <t>Patient_173</t>
  </si>
  <si>
    <t>Patient_233</t>
  </si>
  <si>
    <t>Patient_37</t>
  </si>
  <si>
    <t>Patient_157</t>
  </si>
  <si>
    <t>Patient_3</t>
  </si>
  <si>
    <t>Patient_243</t>
  </si>
  <si>
    <t>Patient_49</t>
  </si>
  <si>
    <t>Patient_142</t>
  </si>
  <si>
    <t>Patient_224</t>
  </si>
  <si>
    <t>Patient_184</t>
  </si>
  <si>
    <t>Patient_220</t>
  </si>
  <si>
    <t>Patient_100</t>
  </si>
  <si>
    <t>Patient_236</t>
  </si>
  <si>
    <t>Patient_118</t>
  </si>
  <si>
    <t>Patient_2</t>
  </si>
  <si>
    <t>Patient_114</t>
  </si>
  <si>
    <t>Patient_297</t>
  </si>
  <si>
    <t>Patient_175</t>
  </si>
  <si>
    <t>Patient_254</t>
  </si>
  <si>
    <t>Patient_286</t>
  </si>
  <si>
    <t>Patient_185</t>
  </si>
  <si>
    <t>Patient_166</t>
  </si>
  <si>
    <t>Patient_275</t>
  </si>
  <si>
    <t>Patient_193</t>
  </si>
  <si>
    <t>Patient_1</t>
  </si>
  <si>
    <t>Patient_55</t>
  </si>
  <si>
    <t>Patient_29</t>
  </si>
  <si>
    <t>Patient_207</t>
  </si>
  <si>
    <t>Patient_50</t>
  </si>
  <si>
    <t>Patient_21</t>
  </si>
  <si>
    <t>Patient_294</t>
  </si>
  <si>
    <t>Patient_177</t>
  </si>
  <si>
    <t>Patient_34</t>
  </si>
  <si>
    <t>Patient_172</t>
  </si>
  <si>
    <t>Patient_107</t>
  </si>
  <si>
    <t>Patient_98</t>
  </si>
  <si>
    <t>Patient_111</t>
  </si>
  <si>
    <t>Patient_70</t>
  </si>
  <si>
    <t>Patient_130</t>
  </si>
  <si>
    <t>Patient_151</t>
  </si>
  <si>
    <t>Patient_27</t>
  </si>
  <si>
    <t>Patient_94</t>
  </si>
  <si>
    <t>Patient_149</t>
  </si>
  <si>
    <t>Patient_120</t>
  </si>
  <si>
    <t>Patient_139</t>
  </si>
  <si>
    <t>Patient_170</t>
  </si>
  <si>
    <t>Patient_203</t>
  </si>
  <si>
    <t>Patient_148</t>
  </si>
  <si>
    <t>Patient_278</t>
  </si>
  <si>
    <t>Patient_257</t>
  </si>
  <si>
    <t>Patient_132</t>
  </si>
  <si>
    <t>Patient_250</t>
  </si>
  <si>
    <t>Patient_153</t>
  </si>
  <si>
    <t>Male</t>
  </si>
  <si>
    <t>Female</t>
  </si>
  <si>
    <t>Diabetes</t>
  </si>
  <si>
    <t>Fever</t>
  </si>
  <si>
    <t>Hypertension</t>
  </si>
  <si>
    <t>Anemia</t>
  </si>
  <si>
    <t>Tuberculosis</t>
  </si>
  <si>
    <t>Dengue</t>
  </si>
  <si>
    <t>Typhoid</t>
  </si>
  <si>
    <t>Asthma</t>
  </si>
  <si>
    <t>Insulin</t>
  </si>
  <si>
    <t>Ceftriaxone</t>
  </si>
  <si>
    <t>Paracetamol</t>
  </si>
  <si>
    <t>Atenolol</t>
  </si>
  <si>
    <t>Losartan</t>
  </si>
  <si>
    <t>Azithromycin</t>
  </si>
  <si>
    <t>Rifampicin</t>
  </si>
  <si>
    <t>Metformin</t>
  </si>
  <si>
    <t>Amlodipine</t>
  </si>
  <si>
    <t>Ferrous Sulfate</t>
  </si>
  <si>
    <t>Folic Acid</t>
  </si>
  <si>
    <t>Isoniazid</t>
  </si>
  <si>
    <t>Glimepiride</t>
  </si>
  <si>
    <t>Montelukast</t>
  </si>
  <si>
    <t>Salbutamol</t>
  </si>
  <si>
    <t>Unknown</t>
  </si>
  <si>
    <t>Total patients</t>
  </si>
  <si>
    <t>Average age</t>
  </si>
  <si>
    <t>Average dosage</t>
  </si>
  <si>
    <t>Most common disease</t>
  </si>
  <si>
    <t>Row Labels</t>
  </si>
  <si>
    <t>Grand Total</t>
  </si>
  <si>
    <t>Count of PatientID</t>
  </si>
  <si>
    <t>Age group</t>
  </si>
  <si>
    <t>0-18</t>
  </si>
  <si>
    <t>19-30</t>
  </si>
  <si>
    <t>31-45</t>
  </si>
  <si>
    <t>46-60</t>
  </si>
  <si>
    <t>60+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</si>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</sst>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 cleaned_messy_patients.xlsx]Sheet2!PivotTable1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Diseases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Sheet2!$A$2:$A$11</c:f>
              <c:strCache>
                <c:ptCount val="9"/>
                <c:pt idx="0">
                  <c:v>Unknown</c:v>
                </c:pt>
                <c:pt idx="1">
                  <c:v>Typhoid</c:v>
                </c:pt>
                <c:pt idx="2">
                  <c:v>Tuberculosis</c:v>
                </c:pt>
                <c:pt idx="3">
                  <c:v>Hypertension</c:v>
                </c:pt>
                <c:pt idx="4">
                  <c:v>Fever</c:v>
                </c:pt>
                <c:pt idx="5">
                  <c:v>Diabetes</c:v>
                </c:pt>
                <c:pt idx="6">
                  <c:v>Dengue</c:v>
                </c:pt>
                <c:pt idx="7">
                  <c:v>Asthma</c:v>
                </c:pt>
                <c:pt idx="8">
                  <c:v>Anemia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9"/>
                <c:pt idx="0">
                  <c:v>12</c:v>
                </c:pt>
                <c:pt idx="1">
                  <c:v>39</c:v>
                </c:pt>
                <c:pt idx="2">
                  <c:v>55</c:v>
                </c:pt>
                <c:pt idx="3">
                  <c:v>35</c:v>
                </c:pt>
                <c:pt idx="4">
                  <c:v>28</c:v>
                </c:pt>
                <c:pt idx="5">
                  <c:v>31</c:v>
                </c:pt>
                <c:pt idx="6">
                  <c:v>33</c:v>
                </c:pt>
                <c:pt idx="7">
                  <c:v>31</c:v>
                </c:pt>
                <c:pt idx="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7-4313-BE7E-2332EA830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55695"/>
        <c:axId val="120102063"/>
      </c:barChart>
      <c:catAx>
        <c:axId val="12005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02063"/>
        <c:crosses val="autoZero"/>
        <c:auto val="1"/>
        <c:lblAlgn val="ctr"/>
        <c:lblOffset val="100"/>
        <c:noMultiLvlLbl val="0"/>
      </c:catAx>
      <c:valAx>
        <c:axId val="1201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 cleaned_messy_patients.xlsx]Sheet3!PivotTable2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Unknown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12</c:v>
                </c:pt>
                <c:pt idx="1">
                  <c:v>153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F-449C-BAA3-4E5E11348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61999"/>
        <c:axId val="120101103"/>
      </c:barChart>
      <c:catAx>
        <c:axId val="21066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01103"/>
        <c:crosses val="autoZero"/>
        <c:auto val="1"/>
        <c:lblAlgn val="ctr"/>
        <c:lblOffset val="100"/>
        <c:noMultiLvlLbl val="0"/>
      </c:catAx>
      <c:valAx>
        <c:axId val="12010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6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0-18</c:v>
                </c:pt>
                <c:pt idx="1">
                  <c:v>19-30</c:v>
                </c:pt>
                <c:pt idx="2">
                  <c:v>31-45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41</c:v>
                </c:pt>
                <c:pt idx="1">
                  <c:v>41</c:v>
                </c:pt>
                <c:pt idx="2">
                  <c:v>88</c:v>
                </c:pt>
                <c:pt idx="3">
                  <c:v>58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D-4560-BC30-A2376ECE2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246415"/>
        <c:axId val="572721327"/>
      </c:barChart>
      <c:catAx>
        <c:axId val="75024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21327"/>
        <c:crosses val="autoZero"/>
        <c:auto val="1"/>
        <c:lblAlgn val="ctr"/>
        <c:lblOffset val="100"/>
        <c:noMultiLvlLbl val="0"/>
      </c:catAx>
      <c:valAx>
        <c:axId val="5727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4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 cleaned_messy_patients.xlsx]Sheet5!PivotTable1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Medication</a:t>
            </a:r>
            <a:r>
              <a:rPr lang="en-US" baseline="0"/>
              <a:t>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Sheet5!$A$2:$A$18</c:f>
              <c:strCache>
                <c:ptCount val="16"/>
                <c:pt idx="0">
                  <c:v>Unknown</c:v>
                </c:pt>
                <c:pt idx="1">
                  <c:v>Salbutamol</c:v>
                </c:pt>
                <c:pt idx="2">
                  <c:v>Rifampicin</c:v>
                </c:pt>
                <c:pt idx="3">
                  <c:v>Paracetamol</c:v>
                </c:pt>
                <c:pt idx="4">
                  <c:v>Montelukast</c:v>
                </c:pt>
                <c:pt idx="5">
                  <c:v>Metformin</c:v>
                </c:pt>
                <c:pt idx="6">
                  <c:v>Losartan</c:v>
                </c:pt>
                <c:pt idx="7">
                  <c:v>Isoniazid</c:v>
                </c:pt>
                <c:pt idx="8">
                  <c:v>Insulin</c:v>
                </c:pt>
                <c:pt idx="9">
                  <c:v>Glimepiride</c:v>
                </c:pt>
                <c:pt idx="10">
                  <c:v>Folic Acid</c:v>
                </c:pt>
                <c:pt idx="11">
                  <c:v>Ferrous Sulfate</c:v>
                </c:pt>
                <c:pt idx="12">
                  <c:v>Ceftriaxone</c:v>
                </c:pt>
                <c:pt idx="13">
                  <c:v>Azithromycin</c:v>
                </c:pt>
                <c:pt idx="14">
                  <c:v>Atenolol</c:v>
                </c:pt>
                <c:pt idx="15">
                  <c:v>Amlodipine</c:v>
                </c:pt>
              </c:strCache>
            </c:strRef>
          </c:cat>
          <c:val>
            <c:numRef>
              <c:f>Sheet5!$B$2:$B$18</c:f>
              <c:numCache>
                <c:formatCode>General</c:formatCode>
                <c:ptCount val="16"/>
                <c:pt idx="0">
                  <c:v>12</c:v>
                </c:pt>
                <c:pt idx="1">
                  <c:v>14</c:v>
                </c:pt>
                <c:pt idx="2">
                  <c:v>30</c:v>
                </c:pt>
                <c:pt idx="3">
                  <c:v>62</c:v>
                </c:pt>
                <c:pt idx="4">
                  <c:v>16</c:v>
                </c:pt>
                <c:pt idx="5">
                  <c:v>11</c:v>
                </c:pt>
                <c:pt idx="6">
                  <c:v>14</c:v>
                </c:pt>
                <c:pt idx="7">
                  <c:v>23</c:v>
                </c:pt>
                <c:pt idx="8">
                  <c:v>8</c:v>
                </c:pt>
                <c:pt idx="9">
                  <c:v>9</c:v>
                </c:pt>
                <c:pt idx="10">
                  <c:v>21</c:v>
                </c:pt>
                <c:pt idx="11">
                  <c:v>16</c:v>
                </c:pt>
                <c:pt idx="12">
                  <c:v>23</c:v>
                </c:pt>
                <c:pt idx="13">
                  <c:v>17</c:v>
                </c:pt>
                <c:pt idx="14">
                  <c:v>14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F-466F-9650-46FCF14A4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687823"/>
        <c:axId val="572733327"/>
      </c:barChart>
      <c:catAx>
        <c:axId val="6626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33327"/>
        <c:crosses val="autoZero"/>
        <c:auto val="1"/>
        <c:lblAlgn val="ctr"/>
        <c:lblOffset val="100"/>
        <c:noMultiLvlLbl val="0"/>
      </c:catAx>
      <c:valAx>
        <c:axId val="5727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8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631464-9D38-1125-BF7E-F3BFB045D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2234D-B833-49A7-2594-205DD9E1C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3</xdr:row>
      <xdr:rowOff>90487</xdr:rowOff>
    </xdr:from>
    <xdr:to>
      <xdr:col>13</xdr:col>
      <xdr:colOff>247650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3869C-818E-212B-A74E-CD4E507CC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40B95-E5BC-8C4A-8B52-C97F563FC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4.383118634258" createdVersion="8" refreshedVersion="8" minRefreshableVersion="3" recordCount="300" xr:uid="{0450363A-C169-498C-B5EF-6CFCD2915940}">
  <cacheSource type="worksheet">
    <worksheetSource name="Table1"/>
  </cacheSource>
  <cacheFields count="7">
    <cacheField name="Patient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5" maxValue="84"/>
    </cacheField>
    <cacheField name="Gender" numFmtId="0">
      <sharedItems count="3">
        <s v="Male"/>
        <s v="Female"/>
        <s v="Unknown"/>
      </sharedItems>
    </cacheField>
    <cacheField name="Disease" numFmtId="0">
      <sharedItems count="9">
        <s v="Diabetes"/>
        <s v="Typhoid"/>
        <s v="Fever"/>
        <s v="Hypertension"/>
        <s v="Unknown"/>
        <s v="Tuberculosis"/>
        <s v="Anemia"/>
        <s v="Dengue"/>
        <s v="Asthma"/>
      </sharedItems>
    </cacheField>
    <cacheField name="Medication" numFmtId="0">
      <sharedItems count="16">
        <s v="Insulin"/>
        <s v="Ceftriaxone"/>
        <s v="Unknown"/>
        <s v="Paracetamol"/>
        <s v="Atenolol"/>
        <s v="Losartan"/>
        <s v="Azithromycin"/>
        <s v="Rifampicin"/>
        <s v="Metformin"/>
        <s v="Amlodipine"/>
        <s v="Ferrous Sulfate"/>
        <s v="Folic Acid"/>
        <s v="Isoniazid"/>
        <s v="Glimepiride"/>
        <s v="Montelukast"/>
        <s v="Salbutamol"/>
      </sharedItems>
    </cacheField>
    <cacheField name="Dosage" numFmtId="0">
      <sharedItems containsSemiMixedTypes="0" containsString="0" containsNumber="1" containsInteger="1" minValue="2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1155"/>
    <s v="Patient_155"/>
    <n v="71"/>
    <x v="0"/>
    <x v="0"/>
    <x v="0"/>
    <n v="300"/>
  </r>
  <r>
    <s v="P1169"/>
    <s v="Patient_169"/>
    <n v="5"/>
    <x v="1"/>
    <x v="1"/>
    <x v="1"/>
    <n v="1000"/>
  </r>
  <r>
    <s v="P1123"/>
    <s v="Patient_123"/>
    <n v="43"/>
    <x v="0"/>
    <x v="0"/>
    <x v="2"/>
    <n v="10"/>
  </r>
  <r>
    <s v="P1115"/>
    <s v="Patient_115"/>
    <n v="36"/>
    <x v="2"/>
    <x v="2"/>
    <x v="3"/>
    <n v="650"/>
  </r>
  <r>
    <s v="P1258"/>
    <s v="Patient_258"/>
    <n v="12"/>
    <x v="1"/>
    <x v="3"/>
    <x v="4"/>
    <n v="50"/>
  </r>
  <r>
    <s v="P1260"/>
    <s v="Patient_260"/>
    <n v="55"/>
    <x v="0"/>
    <x v="3"/>
    <x v="5"/>
    <n v="50"/>
  </r>
  <r>
    <s v="P1270"/>
    <s v="Patient_270"/>
    <n v="26"/>
    <x v="1"/>
    <x v="4"/>
    <x v="4"/>
    <n v="50"/>
  </r>
  <r>
    <s v="P1158"/>
    <s v="Patient_158"/>
    <n v="39"/>
    <x v="0"/>
    <x v="1"/>
    <x v="6"/>
    <n v="500"/>
  </r>
  <r>
    <s v="P1057"/>
    <s v="Patient_57"/>
    <n v="56"/>
    <x v="2"/>
    <x v="5"/>
    <x v="7"/>
    <n v="300"/>
  </r>
  <r>
    <s v="P1008"/>
    <s v="Patient_8"/>
    <n v="37"/>
    <x v="0"/>
    <x v="2"/>
    <x v="3"/>
    <n v="650"/>
  </r>
  <r>
    <s v="P1285"/>
    <s v="Patient_285"/>
    <n v="59"/>
    <x v="0"/>
    <x v="0"/>
    <x v="8"/>
    <n v="500"/>
  </r>
  <r>
    <s v="P1246"/>
    <s v="Patient_246"/>
    <n v="43"/>
    <x v="0"/>
    <x v="1"/>
    <x v="6"/>
    <n v="300"/>
  </r>
  <r>
    <s v="P1208"/>
    <s v="Patient_208"/>
    <n v="37"/>
    <x v="0"/>
    <x v="3"/>
    <x v="9"/>
    <n v="5"/>
  </r>
  <r>
    <s v="P1277"/>
    <s v="Patient_277"/>
    <n v="68"/>
    <x v="0"/>
    <x v="6"/>
    <x v="10"/>
    <n v="200"/>
  </r>
  <r>
    <s v="P1085"/>
    <s v="Patient_85"/>
    <n v="73"/>
    <x v="0"/>
    <x v="3"/>
    <x v="5"/>
    <n v="50"/>
  </r>
  <r>
    <s v="P1253"/>
    <s v="Patient_253"/>
    <n v="43"/>
    <x v="0"/>
    <x v="3"/>
    <x v="9"/>
    <n v="5"/>
  </r>
  <r>
    <s v="P1074"/>
    <s v="Patient_74"/>
    <n v="27"/>
    <x v="1"/>
    <x v="1"/>
    <x v="6"/>
    <n v="500"/>
  </r>
  <r>
    <s v="P1110"/>
    <s v="Patient_110"/>
    <n v="6"/>
    <x v="1"/>
    <x v="7"/>
    <x v="3"/>
    <n v="500"/>
  </r>
  <r>
    <s v="P1032"/>
    <s v="Patient_32"/>
    <n v="27"/>
    <x v="0"/>
    <x v="7"/>
    <x v="3"/>
    <n v="500"/>
  </r>
  <r>
    <s v="P1135"/>
    <s v="Patient_135"/>
    <n v="67"/>
    <x v="0"/>
    <x v="1"/>
    <x v="1"/>
    <n v="1000"/>
  </r>
  <r>
    <s v="P1197"/>
    <s v="Patient_197"/>
    <n v="64"/>
    <x v="1"/>
    <x v="6"/>
    <x v="11"/>
    <n v="300"/>
  </r>
  <r>
    <s v="P1196"/>
    <s v="Patient_196"/>
    <n v="43"/>
    <x v="0"/>
    <x v="3"/>
    <x v="9"/>
    <n v="5"/>
  </r>
  <r>
    <s v="P1083"/>
    <s v="Patient_83"/>
    <n v="57"/>
    <x v="1"/>
    <x v="7"/>
    <x v="3"/>
    <n v="500"/>
  </r>
  <r>
    <s v="P1228"/>
    <s v="Patient_228"/>
    <n v="45"/>
    <x v="0"/>
    <x v="5"/>
    <x v="7"/>
    <n v="600"/>
  </r>
  <r>
    <s v="P1147"/>
    <s v="Patient_147"/>
    <n v="56"/>
    <x v="1"/>
    <x v="1"/>
    <x v="6"/>
    <n v="500"/>
  </r>
  <r>
    <s v="P1291"/>
    <s v="Patient_291"/>
    <n v="81"/>
    <x v="2"/>
    <x v="5"/>
    <x v="7"/>
    <n v="600"/>
  </r>
  <r>
    <s v="P1080"/>
    <s v="Patient_80"/>
    <n v="23"/>
    <x v="1"/>
    <x v="1"/>
    <x v="1"/>
    <n v="1000"/>
  </r>
  <r>
    <s v="P1245"/>
    <s v="Patient_245"/>
    <n v="6"/>
    <x v="1"/>
    <x v="2"/>
    <x v="3"/>
    <n v="300"/>
  </r>
  <r>
    <s v="P1081"/>
    <s v="Patient_81"/>
    <n v="16"/>
    <x v="1"/>
    <x v="5"/>
    <x v="7"/>
    <n v="600"/>
  </r>
  <r>
    <s v="P1095"/>
    <s v="Patient_95"/>
    <n v="9"/>
    <x v="0"/>
    <x v="5"/>
    <x v="12"/>
    <n v="300"/>
  </r>
  <r>
    <s v="P1144"/>
    <s v="Patient_144"/>
    <n v="38"/>
    <x v="0"/>
    <x v="0"/>
    <x v="0"/>
    <n v="10"/>
  </r>
  <r>
    <s v="P1237"/>
    <s v="Patient_237"/>
    <n v="70"/>
    <x v="0"/>
    <x v="1"/>
    <x v="6"/>
    <n v="500"/>
  </r>
  <r>
    <s v="P1119"/>
    <s v="Patient_119"/>
    <n v="37"/>
    <x v="0"/>
    <x v="0"/>
    <x v="8"/>
    <n v="500"/>
  </r>
  <r>
    <s v="P1067"/>
    <s v="Patient_67"/>
    <n v="76"/>
    <x v="1"/>
    <x v="3"/>
    <x v="5"/>
    <n v="50"/>
  </r>
  <r>
    <s v="P1011"/>
    <s v="Patient_11"/>
    <n v="23"/>
    <x v="0"/>
    <x v="0"/>
    <x v="13"/>
    <n v="2"/>
  </r>
  <r>
    <s v="P1137"/>
    <s v="Patient_137"/>
    <n v="67"/>
    <x v="1"/>
    <x v="6"/>
    <x v="10"/>
    <n v="200"/>
  </r>
  <r>
    <s v="P1127"/>
    <s v="Patient_127"/>
    <n v="29"/>
    <x v="0"/>
    <x v="0"/>
    <x v="13"/>
    <n v="2"/>
  </r>
  <r>
    <s v="P1062"/>
    <s v="Patient_62"/>
    <n v="45"/>
    <x v="0"/>
    <x v="5"/>
    <x v="7"/>
    <n v="600"/>
  </r>
  <r>
    <s v="P1164"/>
    <s v="Patient_164"/>
    <n v="25"/>
    <x v="1"/>
    <x v="1"/>
    <x v="6"/>
    <n v="500"/>
  </r>
  <r>
    <s v="P1267"/>
    <s v="Patient_267"/>
    <n v="35"/>
    <x v="1"/>
    <x v="5"/>
    <x v="12"/>
    <n v="300"/>
  </r>
  <r>
    <s v="P1160"/>
    <s v="Patient_160"/>
    <n v="62"/>
    <x v="1"/>
    <x v="6"/>
    <x v="11"/>
    <n v="5"/>
  </r>
  <r>
    <s v="P1075"/>
    <s v="Patient_75"/>
    <n v="39"/>
    <x v="1"/>
    <x v="6"/>
    <x v="11"/>
    <n v="5"/>
  </r>
  <r>
    <s v="P1076"/>
    <s v="Patient_76"/>
    <n v="26"/>
    <x v="0"/>
    <x v="3"/>
    <x v="5"/>
    <n v="50"/>
  </r>
  <r>
    <s v="P1077"/>
    <s v="Patient_77"/>
    <n v="73"/>
    <x v="1"/>
    <x v="5"/>
    <x v="7"/>
    <n v="600"/>
  </r>
  <r>
    <s v="P1187"/>
    <s v="Patient_187"/>
    <n v="61"/>
    <x v="0"/>
    <x v="7"/>
    <x v="3"/>
    <n v="500"/>
  </r>
  <r>
    <s v="P1039"/>
    <s v="Patient_39"/>
    <n v="23"/>
    <x v="0"/>
    <x v="8"/>
    <x v="14"/>
    <n v="10"/>
  </r>
  <r>
    <s v="P1230"/>
    <s v="Patient_230"/>
    <n v="75"/>
    <x v="0"/>
    <x v="6"/>
    <x v="2"/>
    <n v="200"/>
  </r>
  <r>
    <s v="P1165"/>
    <s v="Patient_165"/>
    <n v="45"/>
    <x v="1"/>
    <x v="5"/>
    <x v="12"/>
    <n v="300"/>
  </r>
  <r>
    <s v="P1017"/>
    <s v="Patient_17"/>
    <n v="34"/>
    <x v="0"/>
    <x v="5"/>
    <x v="7"/>
    <n v="600"/>
  </r>
  <r>
    <s v="P1060"/>
    <s v="Patient_60"/>
    <n v="47"/>
    <x v="0"/>
    <x v="7"/>
    <x v="3"/>
    <n v="500"/>
  </r>
  <r>
    <s v="P1288"/>
    <s v="Patient_288"/>
    <n v="61"/>
    <x v="1"/>
    <x v="4"/>
    <x v="3"/>
    <n v="650"/>
  </r>
  <r>
    <s v="P1006"/>
    <s v="Patient_6"/>
    <n v="57"/>
    <x v="0"/>
    <x v="1"/>
    <x v="1"/>
    <n v="1000"/>
  </r>
  <r>
    <s v="P1262"/>
    <s v="Patient_262"/>
    <n v="48"/>
    <x v="1"/>
    <x v="7"/>
    <x v="3"/>
    <n v="500"/>
  </r>
  <r>
    <s v="P1015"/>
    <s v="Patient_15"/>
    <n v="33"/>
    <x v="0"/>
    <x v="8"/>
    <x v="15"/>
    <n v="100"/>
  </r>
  <r>
    <s v="P1048"/>
    <s v="Patient_48"/>
    <n v="43"/>
    <x v="1"/>
    <x v="6"/>
    <x v="11"/>
    <n v="5"/>
  </r>
  <r>
    <s v="P1047"/>
    <s v="Patient_47"/>
    <n v="53"/>
    <x v="0"/>
    <x v="4"/>
    <x v="5"/>
    <n v="50"/>
  </r>
  <r>
    <s v="P1261"/>
    <s v="Patient_261"/>
    <n v="37"/>
    <x v="2"/>
    <x v="5"/>
    <x v="12"/>
    <n v="300"/>
  </r>
  <r>
    <s v="P1276"/>
    <s v="Patient_276"/>
    <n v="82"/>
    <x v="1"/>
    <x v="8"/>
    <x v="14"/>
    <n v="10"/>
  </r>
  <r>
    <s v="P1238"/>
    <s v="Patient_238"/>
    <n v="62"/>
    <x v="0"/>
    <x v="7"/>
    <x v="3"/>
    <n v="500"/>
  </r>
  <r>
    <s v="P1016"/>
    <s v="Patient_16"/>
    <n v="59"/>
    <x v="2"/>
    <x v="1"/>
    <x v="1"/>
    <n v="1000"/>
  </r>
  <r>
    <s v="P1255"/>
    <s v="Patient_255"/>
    <n v="6"/>
    <x v="1"/>
    <x v="5"/>
    <x v="7"/>
    <n v="600"/>
  </r>
  <r>
    <s v="P1031"/>
    <s v="Patient_31"/>
    <n v="35"/>
    <x v="1"/>
    <x v="0"/>
    <x v="8"/>
    <n v="500"/>
  </r>
  <r>
    <s v="P1214"/>
    <s v="Patient_214"/>
    <n v="48"/>
    <x v="1"/>
    <x v="2"/>
    <x v="3"/>
    <n v="650"/>
  </r>
  <r>
    <s v="P1102"/>
    <s v="Patient_102"/>
    <n v="76"/>
    <x v="1"/>
    <x v="8"/>
    <x v="14"/>
    <n v="10"/>
  </r>
  <r>
    <s v="P1129"/>
    <s v="Patient_129"/>
    <n v="46"/>
    <x v="0"/>
    <x v="3"/>
    <x v="5"/>
    <n v="50"/>
  </r>
  <r>
    <s v="P1204"/>
    <s v="Patient_204"/>
    <n v="38"/>
    <x v="1"/>
    <x v="6"/>
    <x v="11"/>
    <n v="5"/>
  </r>
  <r>
    <s v="P1026"/>
    <s v="Patient_26"/>
    <n v="56"/>
    <x v="0"/>
    <x v="6"/>
    <x v="10"/>
    <n v="200"/>
  </r>
  <r>
    <s v="P1068"/>
    <s v="Patient_68"/>
    <n v="19"/>
    <x v="1"/>
    <x v="1"/>
    <x v="1"/>
    <n v="1000"/>
  </r>
  <r>
    <s v="P1066"/>
    <s v="Patient_66"/>
    <n v="5"/>
    <x v="0"/>
    <x v="1"/>
    <x v="1"/>
    <n v="1000"/>
  </r>
  <r>
    <s v="P1104"/>
    <s v="Patient_104"/>
    <n v="6"/>
    <x v="0"/>
    <x v="3"/>
    <x v="4"/>
    <n v="50"/>
  </r>
  <r>
    <s v="P1128"/>
    <s v="Patient_128"/>
    <n v="21"/>
    <x v="1"/>
    <x v="8"/>
    <x v="15"/>
    <n v="100"/>
  </r>
  <r>
    <s v="P1106"/>
    <s v="Patient_106"/>
    <n v="43"/>
    <x v="1"/>
    <x v="2"/>
    <x v="3"/>
    <n v="650"/>
  </r>
  <r>
    <s v="P1131"/>
    <s v="Patient_131"/>
    <n v="26"/>
    <x v="0"/>
    <x v="8"/>
    <x v="14"/>
    <n v="10"/>
  </r>
  <r>
    <s v="P1234"/>
    <s v="Patient_234"/>
    <n v="25"/>
    <x v="1"/>
    <x v="7"/>
    <x v="3"/>
    <n v="300"/>
  </r>
  <r>
    <s v="P1269"/>
    <s v="Patient_269"/>
    <n v="76"/>
    <x v="1"/>
    <x v="3"/>
    <x v="4"/>
    <n v="50"/>
  </r>
  <r>
    <s v="P1103"/>
    <s v="Patient_103"/>
    <n v="30"/>
    <x v="0"/>
    <x v="5"/>
    <x v="12"/>
    <n v="300"/>
  </r>
  <r>
    <s v="P1116"/>
    <s v="Patient_116"/>
    <n v="56"/>
    <x v="1"/>
    <x v="6"/>
    <x v="2"/>
    <n v="200"/>
  </r>
  <r>
    <s v="P1141"/>
    <s v="Patient_141"/>
    <n v="62"/>
    <x v="0"/>
    <x v="0"/>
    <x v="13"/>
    <n v="2"/>
  </r>
  <r>
    <s v="P1156"/>
    <s v="Patient_156"/>
    <n v="43"/>
    <x v="1"/>
    <x v="2"/>
    <x v="3"/>
    <n v="650"/>
  </r>
  <r>
    <s v="P1059"/>
    <s v="Patient_59"/>
    <n v="68"/>
    <x v="1"/>
    <x v="7"/>
    <x v="3"/>
    <n v="500"/>
  </r>
  <r>
    <s v="P1043"/>
    <s v="Patient_43"/>
    <n v="50"/>
    <x v="1"/>
    <x v="7"/>
    <x v="3"/>
    <n v="500"/>
  </r>
  <r>
    <s v="P1005"/>
    <s v="Patient_5"/>
    <n v="75"/>
    <x v="0"/>
    <x v="0"/>
    <x v="0"/>
    <n v="10"/>
  </r>
  <r>
    <s v="P1188"/>
    <s v="Patient_188"/>
    <n v="33"/>
    <x v="2"/>
    <x v="4"/>
    <x v="7"/>
    <n v="600"/>
  </r>
  <r>
    <s v="P1195"/>
    <s v="Patient_195"/>
    <n v="8"/>
    <x v="0"/>
    <x v="6"/>
    <x v="11"/>
    <n v="5"/>
  </r>
  <r>
    <s v="P1218"/>
    <s v="Patient_218"/>
    <n v="43"/>
    <x v="0"/>
    <x v="0"/>
    <x v="8"/>
    <n v="500"/>
  </r>
  <r>
    <s v="P1211"/>
    <s v="Patient_211"/>
    <n v="67"/>
    <x v="0"/>
    <x v="8"/>
    <x v="14"/>
    <n v="300"/>
  </r>
  <r>
    <s v="P1176"/>
    <s v="Patient_176"/>
    <n v="48"/>
    <x v="0"/>
    <x v="5"/>
    <x v="7"/>
    <n v="600"/>
  </r>
  <r>
    <s v="P1078"/>
    <s v="Patient_78"/>
    <n v="72"/>
    <x v="1"/>
    <x v="8"/>
    <x v="14"/>
    <n v="10"/>
  </r>
  <r>
    <s v="P1122"/>
    <s v="Patient_122"/>
    <n v="10"/>
    <x v="0"/>
    <x v="8"/>
    <x v="15"/>
    <n v="100"/>
  </r>
  <r>
    <s v="P1071"/>
    <s v="Patient_71"/>
    <n v="37"/>
    <x v="0"/>
    <x v="0"/>
    <x v="0"/>
    <n v="10"/>
  </r>
  <r>
    <s v="P1007"/>
    <s v="Patient_7"/>
    <n v="15"/>
    <x v="0"/>
    <x v="1"/>
    <x v="6"/>
    <n v="500"/>
  </r>
  <r>
    <s v="P1284"/>
    <s v="Patient_284"/>
    <n v="73"/>
    <x v="0"/>
    <x v="3"/>
    <x v="5"/>
    <n v="50"/>
  </r>
  <r>
    <s v="P1242"/>
    <s v="Patient_242"/>
    <n v="47"/>
    <x v="0"/>
    <x v="8"/>
    <x v="14"/>
    <n v="10"/>
  </r>
  <r>
    <s v="P1199"/>
    <s v="Patient_199"/>
    <n v="74"/>
    <x v="1"/>
    <x v="4"/>
    <x v="1"/>
    <n v="1000"/>
  </r>
  <r>
    <s v="P1287"/>
    <s v="Patient_287"/>
    <n v="32"/>
    <x v="0"/>
    <x v="1"/>
    <x v="1"/>
    <n v="1000"/>
  </r>
  <r>
    <s v="P1152"/>
    <s v="Patient_152"/>
    <n v="33"/>
    <x v="2"/>
    <x v="2"/>
    <x v="3"/>
    <n v="650"/>
  </r>
  <r>
    <s v="P1143"/>
    <s v="Patient_143"/>
    <n v="37"/>
    <x v="0"/>
    <x v="1"/>
    <x v="6"/>
    <n v="500"/>
  </r>
  <r>
    <s v="P1038"/>
    <s v="Patient_38"/>
    <n v="43"/>
    <x v="1"/>
    <x v="5"/>
    <x v="12"/>
    <n v="300"/>
  </r>
  <r>
    <s v="P1004"/>
    <s v="Patient_4"/>
    <n v="83"/>
    <x v="1"/>
    <x v="4"/>
    <x v="3"/>
    <n v="650"/>
  </r>
  <r>
    <s v="P1201"/>
    <s v="Patient_201"/>
    <n v="79"/>
    <x v="0"/>
    <x v="8"/>
    <x v="14"/>
    <n v="10"/>
  </r>
  <r>
    <s v="P1084"/>
    <s v="Patient_84"/>
    <n v="81"/>
    <x v="1"/>
    <x v="3"/>
    <x v="4"/>
    <n v="50"/>
  </r>
  <r>
    <s v="P1079"/>
    <s v="Patient_79"/>
    <n v="53"/>
    <x v="0"/>
    <x v="8"/>
    <x v="15"/>
    <n v="100"/>
  </r>
  <r>
    <s v="P1182"/>
    <s v="Patient_182"/>
    <n v="28"/>
    <x v="0"/>
    <x v="4"/>
    <x v="3"/>
    <n v="650"/>
  </r>
  <r>
    <s v="P1212"/>
    <s v="Patient_212"/>
    <n v="19"/>
    <x v="0"/>
    <x v="6"/>
    <x v="10"/>
    <n v="200"/>
  </r>
  <r>
    <s v="P1136"/>
    <s v="Patient_136"/>
    <n v="73"/>
    <x v="0"/>
    <x v="1"/>
    <x v="1"/>
    <n v="1000"/>
  </r>
  <r>
    <s v="P1163"/>
    <s v="Patient_163"/>
    <n v="43"/>
    <x v="1"/>
    <x v="8"/>
    <x v="14"/>
    <n v="10"/>
  </r>
  <r>
    <s v="P1065"/>
    <s v="Patient_65"/>
    <n v="22"/>
    <x v="1"/>
    <x v="1"/>
    <x v="1"/>
    <n v="1000"/>
  </r>
  <r>
    <s v="P1229"/>
    <s v="Patient_229"/>
    <n v="65"/>
    <x v="0"/>
    <x v="5"/>
    <x v="12"/>
    <n v="300"/>
  </r>
  <r>
    <s v="P1051"/>
    <s v="Patient_51"/>
    <n v="24"/>
    <x v="1"/>
    <x v="3"/>
    <x v="5"/>
    <n v="50"/>
  </r>
  <r>
    <s v="P1024"/>
    <s v="Patient_24"/>
    <n v="12"/>
    <x v="0"/>
    <x v="6"/>
    <x v="11"/>
    <n v="5"/>
  </r>
  <r>
    <s v="P1044"/>
    <s v="Patient_44"/>
    <n v="56"/>
    <x v="0"/>
    <x v="4"/>
    <x v="10"/>
    <n v="200"/>
  </r>
  <r>
    <s v="P1099"/>
    <s v="Patient_99"/>
    <n v="81"/>
    <x v="0"/>
    <x v="4"/>
    <x v="4"/>
    <n v="50"/>
  </r>
  <r>
    <s v="P1124"/>
    <s v="Patient_124"/>
    <n v="42"/>
    <x v="1"/>
    <x v="0"/>
    <x v="13"/>
    <n v="2"/>
  </r>
  <r>
    <s v="P1025"/>
    <s v="Patient_25"/>
    <n v="61"/>
    <x v="0"/>
    <x v="5"/>
    <x v="12"/>
    <n v="300"/>
  </r>
  <r>
    <s v="P1273"/>
    <s v="Patient_273"/>
    <n v="49"/>
    <x v="0"/>
    <x v="3"/>
    <x v="4"/>
    <n v="50"/>
  </r>
  <r>
    <s v="P1219"/>
    <s v="Patient_219"/>
    <n v="31"/>
    <x v="1"/>
    <x v="6"/>
    <x v="10"/>
    <n v="200"/>
  </r>
  <r>
    <s v="P1154"/>
    <s v="Patient_154"/>
    <n v="34"/>
    <x v="1"/>
    <x v="3"/>
    <x v="9"/>
    <n v="5"/>
  </r>
  <r>
    <s v="P1290"/>
    <s v="Patient_290"/>
    <n v="60"/>
    <x v="1"/>
    <x v="1"/>
    <x v="1"/>
    <n v="1000"/>
  </r>
  <r>
    <s v="P1259"/>
    <s v="Patient_259"/>
    <n v="55"/>
    <x v="1"/>
    <x v="5"/>
    <x v="7"/>
    <n v="600"/>
  </r>
  <r>
    <s v="P1161"/>
    <s v="Patient_161"/>
    <n v="54"/>
    <x v="1"/>
    <x v="1"/>
    <x v="1"/>
    <n v="1000"/>
  </r>
  <r>
    <s v="P1205"/>
    <s v="Patient_205"/>
    <n v="77"/>
    <x v="1"/>
    <x v="6"/>
    <x v="11"/>
    <n v="5"/>
  </r>
  <r>
    <s v="P1231"/>
    <s v="Patient_231"/>
    <n v="54"/>
    <x v="1"/>
    <x v="5"/>
    <x v="7"/>
    <n v="600"/>
  </r>
  <r>
    <s v="P1167"/>
    <s v="Patient_167"/>
    <n v="9"/>
    <x v="0"/>
    <x v="0"/>
    <x v="8"/>
    <n v="500"/>
  </r>
  <r>
    <s v="P1041"/>
    <s v="Patient_41"/>
    <n v="36"/>
    <x v="1"/>
    <x v="8"/>
    <x v="15"/>
    <n v="100"/>
  </r>
  <r>
    <s v="P1252"/>
    <s v="Patient_252"/>
    <n v="20"/>
    <x v="1"/>
    <x v="8"/>
    <x v="15"/>
    <n v="100"/>
  </r>
  <r>
    <s v="P1046"/>
    <s v="Patient_46"/>
    <n v="76"/>
    <x v="0"/>
    <x v="5"/>
    <x v="7"/>
    <n v="600"/>
  </r>
  <r>
    <s v="P1222"/>
    <s v="Patient_222"/>
    <n v="6"/>
    <x v="1"/>
    <x v="3"/>
    <x v="9"/>
    <n v="5"/>
  </r>
  <r>
    <s v="P1180"/>
    <s v="Patient_180"/>
    <n v="74"/>
    <x v="0"/>
    <x v="2"/>
    <x v="3"/>
    <n v="650"/>
  </r>
  <r>
    <s v="P1181"/>
    <s v="Patient_181"/>
    <n v="75"/>
    <x v="1"/>
    <x v="6"/>
    <x v="11"/>
    <n v="5"/>
  </r>
  <r>
    <s v="P1150"/>
    <s v="Patient_150"/>
    <n v="18"/>
    <x v="0"/>
    <x v="5"/>
    <x v="2"/>
    <n v="300"/>
  </r>
  <r>
    <s v="P1022"/>
    <s v="Patient_22"/>
    <n v="22"/>
    <x v="1"/>
    <x v="7"/>
    <x v="3"/>
    <n v="500"/>
  </r>
  <r>
    <s v="P1109"/>
    <s v="Patient_109"/>
    <n v="38"/>
    <x v="1"/>
    <x v="2"/>
    <x v="3"/>
    <n v="650"/>
  </r>
  <r>
    <s v="P1058"/>
    <s v="Patient_58"/>
    <n v="50"/>
    <x v="1"/>
    <x v="5"/>
    <x v="12"/>
    <n v="300"/>
  </r>
  <r>
    <s v="P1206"/>
    <s v="Patient_206"/>
    <n v="73"/>
    <x v="0"/>
    <x v="1"/>
    <x v="1"/>
    <n v="1000"/>
  </r>
  <r>
    <s v="P1299"/>
    <s v="Patient_299"/>
    <n v="10"/>
    <x v="0"/>
    <x v="2"/>
    <x v="3"/>
    <n v="650"/>
  </r>
  <r>
    <s v="P1030"/>
    <s v="Patient_30"/>
    <n v="56"/>
    <x v="1"/>
    <x v="3"/>
    <x v="9"/>
    <n v="5"/>
  </r>
  <r>
    <s v="P1289"/>
    <s v="Patient_289"/>
    <n v="13"/>
    <x v="0"/>
    <x v="8"/>
    <x v="15"/>
    <n v="100"/>
  </r>
  <r>
    <s v="P1133"/>
    <s v="Patient_133"/>
    <n v="51"/>
    <x v="0"/>
    <x v="5"/>
    <x v="2"/>
    <n v="300"/>
  </r>
  <r>
    <s v="P1090"/>
    <s v="Patient_90"/>
    <n v="12"/>
    <x v="0"/>
    <x v="5"/>
    <x v="7"/>
    <n v="600"/>
  </r>
  <r>
    <s v="P1035"/>
    <s v="Patient_35"/>
    <n v="81"/>
    <x v="0"/>
    <x v="5"/>
    <x v="7"/>
    <n v="600"/>
  </r>
  <r>
    <s v="P1073"/>
    <s v="Patient_73"/>
    <n v="53"/>
    <x v="0"/>
    <x v="8"/>
    <x v="14"/>
    <n v="10"/>
  </r>
  <r>
    <s v="P1293"/>
    <s v="Patient_293"/>
    <n v="54"/>
    <x v="1"/>
    <x v="5"/>
    <x v="12"/>
    <n v="300"/>
  </r>
  <r>
    <s v="P1265"/>
    <s v="Patient_265"/>
    <n v="6"/>
    <x v="0"/>
    <x v="8"/>
    <x v="15"/>
    <n v="100"/>
  </r>
  <r>
    <s v="P1140"/>
    <s v="Patient_140"/>
    <n v="47"/>
    <x v="0"/>
    <x v="2"/>
    <x v="3"/>
    <n v="650"/>
  </r>
  <r>
    <s v="P1247"/>
    <s v="Patient_247"/>
    <n v="17"/>
    <x v="0"/>
    <x v="5"/>
    <x v="7"/>
    <n v="600"/>
  </r>
  <r>
    <s v="P1112"/>
    <s v="Patient_112"/>
    <n v="43"/>
    <x v="1"/>
    <x v="3"/>
    <x v="9"/>
    <n v="5"/>
  </r>
  <r>
    <s v="P1013"/>
    <s v="Patient_13"/>
    <n v="43"/>
    <x v="0"/>
    <x v="7"/>
    <x v="3"/>
    <n v="500"/>
  </r>
  <r>
    <s v="P1088"/>
    <s v="Patient_88"/>
    <n v="43"/>
    <x v="0"/>
    <x v="5"/>
    <x v="12"/>
    <n v="300"/>
  </r>
  <r>
    <s v="P1282"/>
    <s v="Patient_282"/>
    <n v="6"/>
    <x v="1"/>
    <x v="5"/>
    <x v="12"/>
    <n v="300"/>
  </r>
  <r>
    <s v="P1097"/>
    <s v="Patient_97"/>
    <n v="66"/>
    <x v="1"/>
    <x v="6"/>
    <x v="11"/>
    <n v="5"/>
  </r>
  <r>
    <s v="P1042"/>
    <s v="Patient_42"/>
    <n v="54"/>
    <x v="0"/>
    <x v="6"/>
    <x v="10"/>
    <n v="300"/>
  </r>
  <r>
    <s v="P1064"/>
    <s v="Patient_64"/>
    <n v="21"/>
    <x v="0"/>
    <x v="5"/>
    <x v="7"/>
    <n v="600"/>
  </r>
  <r>
    <s v="P1232"/>
    <s v="Patient_232"/>
    <n v="55"/>
    <x v="0"/>
    <x v="0"/>
    <x v="13"/>
    <n v="2"/>
  </r>
  <r>
    <s v="P1014"/>
    <s v="Patient_14"/>
    <n v="44"/>
    <x v="0"/>
    <x v="1"/>
    <x v="6"/>
    <n v="500"/>
  </r>
  <r>
    <s v="P1191"/>
    <s v="Patient_191"/>
    <n v="43"/>
    <x v="0"/>
    <x v="7"/>
    <x v="3"/>
    <n v="500"/>
  </r>
  <r>
    <s v="P1018"/>
    <s v="Patient_18"/>
    <n v="60"/>
    <x v="1"/>
    <x v="8"/>
    <x v="15"/>
    <n v="100"/>
  </r>
  <r>
    <s v="P1249"/>
    <s v="Patient_249"/>
    <n v="82"/>
    <x v="0"/>
    <x v="5"/>
    <x v="12"/>
    <n v="300"/>
  </r>
  <r>
    <s v="P1190"/>
    <s v="Patient_190"/>
    <n v="71"/>
    <x v="1"/>
    <x v="6"/>
    <x v="11"/>
    <n v="5"/>
  </r>
  <r>
    <s v="P1091"/>
    <s v="Patient_91"/>
    <n v="38"/>
    <x v="0"/>
    <x v="1"/>
    <x v="1"/>
    <n v="1000"/>
  </r>
  <r>
    <s v="P1052"/>
    <s v="Patient_52"/>
    <n v="84"/>
    <x v="1"/>
    <x v="3"/>
    <x v="4"/>
    <n v="50"/>
  </r>
  <r>
    <s v="P1086"/>
    <s v="Patient_86"/>
    <n v="50"/>
    <x v="0"/>
    <x v="7"/>
    <x v="3"/>
    <n v="500"/>
  </r>
  <r>
    <s v="P1125"/>
    <s v="Patient_125"/>
    <n v="77"/>
    <x v="0"/>
    <x v="5"/>
    <x v="7"/>
    <n v="600"/>
  </r>
  <r>
    <s v="P1162"/>
    <s v="Patient_162"/>
    <n v="51"/>
    <x v="0"/>
    <x v="0"/>
    <x v="13"/>
    <n v="2"/>
  </r>
  <r>
    <s v="P1089"/>
    <s v="Patient_89"/>
    <n v="12"/>
    <x v="1"/>
    <x v="2"/>
    <x v="3"/>
    <n v="650"/>
  </r>
  <r>
    <s v="P1178"/>
    <s v="Patient_178"/>
    <n v="46"/>
    <x v="1"/>
    <x v="6"/>
    <x v="10"/>
    <n v="200"/>
  </r>
  <r>
    <s v="P1198"/>
    <s v="Patient_198"/>
    <n v="58"/>
    <x v="1"/>
    <x v="5"/>
    <x v="12"/>
    <n v="300"/>
  </r>
  <r>
    <s v="P1200"/>
    <s v="Patient_200"/>
    <n v="54"/>
    <x v="1"/>
    <x v="3"/>
    <x v="5"/>
    <n v="50"/>
  </r>
  <r>
    <s v="P1040"/>
    <s v="Patient_40"/>
    <n v="57"/>
    <x v="1"/>
    <x v="3"/>
    <x v="4"/>
    <n v="50"/>
  </r>
  <r>
    <s v="P1087"/>
    <s v="Patient_87"/>
    <n v="69"/>
    <x v="1"/>
    <x v="8"/>
    <x v="15"/>
    <n v="100"/>
  </r>
  <r>
    <s v="P1117"/>
    <s v="Patient_117"/>
    <n v="71"/>
    <x v="1"/>
    <x v="5"/>
    <x v="12"/>
    <n v="300"/>
  </r>
  <r>
    <s v="P1146"/>
    <s v="Patient_146"/>
    <n v="70"/>
    <x v="1"/>
    <x v="5"/>
    <x v="7"/>
    <n v="600"/>
  </r>
  <r>
    <s v="P1159"/>
    <s v="Patient_159"/>
    <n v="35"/>
    <x v="1"/>
    <x v="0"/>
    <x v="0"/>
    <n v="10"/>
  </r>
  <r>
    <s v="P1264"/>
    <s v="Patient_264"/>
    <n v="74"/>
    <x v="0"/>
    <x v="8"/>
    <x v="15"/>
    <n v="100"/>
  </r>
  <r>
    <s v="P1272"/>
    <s v="Patient_272"/>
    <n v="51"/>
    <x v="0"/>
    <x v="7"/>
    <x v="3"/>
    <n v="500"/>
  </r>
  <r>
    <s v="P1225"/>
    <s v="Patient_225"/>
    <n v="60"/>
    <x v="1"/>
    <x v="2"/>
    <x v="3"/>
    <n v="650"/>
  </r>
  <r>
    <s v="P1292"/>
    <s v="Patient_292"/>
    <n v="51"/>
    <x v="1"/>
    <x v="6"/>
    <x v="11"/>
    <n v="5"/>
  </r>
  <r>
    <s v="P1202"/>
    <s v="Patient_202"/>
    <n v="51"/>
    <x v="1"/>
    <x v="0"/>
    <x v="8"/>
    <n v="500"/>
  </r>
  <r>
    <s v="P1171"/>
    <s v="Patient_171"/>
    <n v="79"/>
    <x v="0"/>
    <x v="1"/>
    <x v="6"/>
    <n v="500"/>
  </r>
  <r>
    <s v="P1126"/>
    <s v="Patient_126"/>
    <n v="43"/>
    <x v="0"/>
    <x v="7"/>
    <x v="3"/>
    <n v="500"/>
  </r>
  <r>
    <s v="P1266"/>
    <s v="Patient_266"/>
    <n v="56"/>
    <x v="0"/>
    <x v="6"/>
    <x v="11"/>
    <n v="5"/>
  </r>
  <r>
    <s v="P1226"/>
    <s v="Patient_226"/>
    <n v="69"/>
    <x v="1"/>
    <x v="3"/>
    <x v="9"/>
    <n v="5"/>
  </r>
  <r>
    <s v="P1072"/>
    <s v="Patient_72"/>
    <n v="6"/>
    <x v="1"/>
    <x v="7"/>
    <x v="3"/>
    <n v="500"/>
  </r>
  <r>
    <s v="P1241"/>
    <s v="Patient_241"/>
    <n v="69"/>
    <x v="0"/>
    <x v="1"/>
    <x v="6"/>
    <n v="500"/>
  </r>
  <r>
    <s v="P1271"/>
    <s v="Patient_271"/>
    <n v="23"/>
    <x v="1"/>
    <x v="0"/>
    <x v="13"/>
    <n v="2"/>
  </r>
  <r>
    <s v="P1251"/>
    <s v="Patient_251"/>
    <n v="44"/>
    <x v="1"/>
    <x v="8"/>
    <x v="15"/>
    <n v="100"/>
  </r>
  <r>
    <s v="P1256"/>
    <s v="Patient_256"/>
    <n v="37"/>
    <x v="0"/>
    <x v="0"/>
    <x v="8"/>
    <n v="500"/>
  </r>
  <r>
    <s v="P1082"/>
    <s v="Patient_82"/>
    <n v="16"/>
    <x v="0"/>
    <x v="5"/>
    <x v="12"/>
    <n v="300"/>
  </r>
  <r>
    <s v="P1096"/>
    <s v="Patient_96"/>
    <n v="10"/>
    <x v="0"/>
    <x v="5"/>
    <x v="7"/>
    <n v="600"/>
  </r>
  <r>
    <s v="P1134"/>
    <s v="Patient_134"/>
    <n v="40"/>
    <x v="0"/>
    <x v="2"/>
    <x v="3"/>
    <n v="650"/>
  </r>
  <r>
    <s v="P1215"/>
    <s v="Patient_215"/>
    <n v="66"/>
    <x v="0"/>
    <x v="0"/>
    <x v="13"/>
    <n v="2"/>
  </r>
  <r>
    <s v="P1235"/>
    <s v="Patient_235"/>
    <n v="57"/>
    <x v="1"/>
    <x v="7"/>
    <x v="2"/>
    <n v="500"/>
  </r>
  <r>
    <s v="P1138"/>
    <s v="Patient_138"/>
    <n v="37"/>
    <x v="0"/>
    <x v="4"/>
    <x v="5"/>
    <n v="50"/>
  </r>
  <r>
    <s v="P1101"/>
    <s v="Patient_101"/>
    <n v="26"/>
    <x v="0"/>
    <x v="7"/>
    <x v="3"/>
    <n v="500"/>
  </r>
  <r>
    <s v="P1283"/>
    <s v="Patient_283"/>
    <n v="83"/>
    <x v="0"/>
    <x v="6"/>
    <x v="11"/>
    <n v="5"/>
  </r>
  <r>
    <s v="P1244"/>
    <s v="Patient_244"/>
    <n v="26"/>
    <x v="0"/>
    <x v="8"/>
    <x v="15"/>
    <n v="100"/>
  </r>
  <r>
    <s v="P1300"/>
    <s v="Patient_300"/>
    <n v="47"/>
    <x v="0"/>
    <x v="1"/>
    <x v="1"/>
    <n v="1000"/>
  </r>
  <r>
    <s v="P1223"/>
    <s v="Patient_223"/>
    <n v="46"/>
    <x v="1"/>
    <x v="2"/>
    <x v="3"/>
    <n v="650"/>
  </r>
  <r>
    <s v="P1295"/>
    <s v="Patient_295"/>
    <n v="13"/>
    <x v="0"/>
    <x v="1"/>
    <x v="6"/>
    <n v="500"/>
  </r>
  <r>
    <s v="P1009"/>
    <s v="Patient_9"/>
    <n v="51"/>
    <x v="0"/>
    <x v="2"/>
    <x v="3"/>
    <n v="650"/>
  </r>
  <r>
    <s v="P1108"/>
    <s v="Patient_108"/>
    <n v="43"/>
    <x v="0"/>
    <x v="0"/>
    <x v="8"/>
    <n v="500"/>
  </r>
  <r>
    <s v="P1054"/>
    <s v="Patient_54"/>
    <n v="16"/>
    <x v="1"/>
    <x v="0"/>
    <x v="8"/>
    <n v="500"/>
  </r>
  <r>
    <s v="P1028"/>
    <s v="Patient_28"/>
    <n v="81"/>
    <x v="1"/>
    <x v="8"/>
    <x v="14"/>
    <n v="10"/>
  </r>
  <r>
    <s v="P1239"/>
    <s v="Patient_239"/>
    <n v="57"/>
    <x v="0"/>
    <x v="1"/>
    <x v="6"/>
    <n v="500"/>
  </r>
  <r>
    <s v="P1061"/>
    <s v="Patient_61"/>
    <n v="27"/>
    <x v="0"/>
    <x v="2"/>
    <x v="3"/>
    <n v="650"/>
  </r>
  <r>
    <s v="P1093"/>
    <s v="Patient_93"/>
    <n v="12"/>
    <x v="2"/>
    <x v="1"/>
    <x v="6"/>
    <n v="500"/>
  </r>
  <r>
    <s v="P1033"/>
    <s v="Patient_33"/>
    <n v="10"/>
    <x v="1"/>
    <x v="1"/>
    <x v="1"/>
    <n v="1000"/>
  </r>
  <r>
    <s v="P1298"/>
    <s v="Patient_298"/>
    <n v="28"/>
    <x v="1"/>
    <x v="6"/>
    <x v="10"/>
    <n v="200"/>
  </r>
  <r>
    <s v="P1186"/>
    <s v="Patient_186"/>
    <n v="43"/>
    <x v="1"/>
    <x v="6"/>
    <x v="10"/>
    <n v="200"/>
  </r>
  <r>
    <s v="P1221"/>
    <s v="Patient_221"/>
    <n v="30"/>
    <x v="1"/>
    <x v="3"/>
    <x v="4"/>
    <n v="50"/>
  </r>
  <r>
    <s v="P1023"/>
    <s v="Patient_23"/>
    <n v="76"/>
    <x v="0"/>
    <x v="7"/>
    <x v="3"/>
    <n v="500"/>
  </r>
  <r>
    <s v="P1210"/>
    <s v="Patient_210"/>
    <n v="38"/>
    <x v="1"/>
    <x v="0"/>
    <x v="8"/>
    <n v="500"/>
  </r>
  <r>
    <s v="P1063"/>
    <s v="Patient_63"/>
    <n v="49"/>
    <x v="0"/>
    <x v="3"/>
    <x v="4"/>
    <n v="50"/>
  </r>
  <r>
    <s v="P1216"/>
    <s v="Patient_216"/>
    <n v="41"/>
    <x v="1"/>
    <x v="4"/>
    <x v="10"/>
    <n v="200"/>
  </r>
  <r>
    <s v="P1268"/>
    <s v="Patient_268"/>
    <n v="54"/>
    <x v="2"/>
    <x v="7"/>
    <x v="3"/>
    <n v="500"/>
  </r>
  <r>
    <s v="P1192"/>
    <s v="Patient_192"/>
    <n v="5"/>
    <x v="0"/>
    <x v="7"/>
    <x v="3"/>
    <n v="500"/>
  </r>
  <r>
    <s v="P1019"/>
    <s v="Patient_19"/>
    <n v="32"/>
    <x v="1"/>
    <x v="2"/>
    <x v="3"/>
    <n v="650"/>
  </r>
  <r>
    <s v="P1279"/>
    <s v="Patient_279"/>
    <n v="64"/>
    <x v="0"/>
    <x v="0"/>
    <x v="2"/>
    <n v="2"/>
  </r>
  <r>
    <s v="P1053"/>
    <s v="Patient_53"/>
    <n v="75"/>
    <x v="1"/>
    <x v="5"/>
    <x v="7"/>
    <n v="600"/>
  </r>
  <r>
    <s v="P1174"/>
    <s v="Patient_174"/>
    <n v="43"/>
    <x v="0"/>
    <x v="6"/>
    <x v="10"/>
    <n v="200"/>
  </r>
  <r>
    <s v="P1036"/>
    <s v="Patient_36"/>
    <n v="27"/>
    <x v="1"/>
    <x v="3"/>
    <x v="4"/>
    <n v="50"/>
  </r>
  <r>
    <s v="P1194"/>
    <s v="Patient_194"/>
    <n v="35"/>
    <x v="1"/>
    <x v="0"/>
    <x v="0"/>
    <n v="10"/>
  </r>
  <r>
    <s v="P1179"/>
    <s v="Patient_179"/>
    <n v="76"/>
    <x v="0"/>
    <x v="7"/>
    <x v="3"/>
    <n v="500"/>
  </r>
  <r>
    <s v="P1168"/>
    <s v="Patient_168"/>
    <n v="43"/>
    <x v="0"/>
    <x v="7"/>
    <x v="3"/>
    <n v="500"/>
  </r>
  <r>
    <s v="P1227"/>
    <s v="Patient_227"/>
    <n v="20"/>
    <x v="1"/>
    <x v="5"/>
    <x v="7"/>
    <n v="300"/>
  </r>
  <r>
    <s v="P1121"/>
    <s v="Patient_121"/>
    <n v="37"/>
    <x v="1"/>
    <x v="5"/>
    <x v="7"/>
    <n v="600"/>
  </r>
  <r>
    <s v="P1145"/>
    <s v="Patient_145"/>
    <n v="11"/>
    <x v="0"/>
    <x v="6"/>
    <x v="11"/>
    <n v="5"/>
  </r>
  <r>
    <s v="P1020"/>
    <s v="Patient_20"/>
    <n v="65"/>
    <x v="0"/>
    <x v="6"/>
    <x v="10"/>
    <n v="300"/>
  </r>
  <r>
    <s v="P1045"/>
    <s v="Patient_45"/>
    <n v="43"/>
    <x v="0"/>
    <x v="3"/>
    <x v="5"/>
    <n v="50"/>
  </r>
  <r>
    <s v="P1069"/>
    <s v="Patient_69"/>
    <n v="41"/>
    <x v="0"/>
    <x v="1"/>
    <x v="1"/>
    <n v="1000"/>
  </r>
  <r>
    <s v="P1209"/>
    <s v="Patient_209"/>
    <n v="12"/>
    <x v="0"/>
    <x v="2"/>
    <x v="3"/>
    <n v="650"/>
  </r>
  <r>
    <s v="P1113"/>
    <s v="Patient_113"/>
    <n v="33"/>
    <x v="1"/>
    <x v="2"/>
    <x v="3"/>
    <n v="650"/>
  </r>
  <r>
    <s v="P1213"/>
    <s v="Patient_213"/>
    <n v="82"/>
    <x v="0"/>
    <x v="3"/>
    <x v="5"/>
    <n v="50"/>
  </r>
  <r>
    <s v="P1012"/>
    <s v="Patient_12"/>
    <n v="41"/>
    <x v="1"/>
    <x v="5"/>
    <x v="12"/>
    <n v="300"/>
  </r>
  <r>
    <s v="P1056"/>
    <s v="Patient_56"/>
    <n v="20"/>
    <x v="0"/>
    <x v="5"/>
    <x v="7"/>
    <n v="600"/>
  </r>
  <r>
    <s v="P1217"/>
    <s v="Patient_217"/>
    <n v="17"/>
    <x v="1"/>
    <x v="5"/>
    <x v="2"/>
    <n v="600"/>
  </r>
  <r>
    <s v="P1189"/>
    <s v="Patient_189"/>
    <n v="41"/>
    <x v="1"/>
    <x v="5"/>
    <x v="12"/>
    <n v="300"/>
  </r>
  <r>
    <s v="P1248"/>
    <s v="Patient_248"/>
    <n v="23"/>
    <x v="1"/>
    <x v="2"/>
    <x v="2"/>
    <n v="300"/>
  </r>
  <r>
    <s v="P1240"/>
    <s v="Patient_240"/>
    <n v="24"/>
    <x v="1"/>
    <x v="1"/>
    <x v="1"/>
    <n v="1000"/>
  </r>
  <r>
    <s v="P1281"/>
    <s v="Patient_281"/>
    <n v="36"/>
    <x v="1"/>
    <x v="0"/>
    <x v="0"/>
    <n v="10"/>
  </r>
  <r>
    <s v="P1010"/>
    <s v="Patient_10"/>
    <n v="68"/>
    <x v="0"/>
    <x v="5"/>
    <x v="7"/>
    <n v="600"/>
  </r>
  <r>
    <s v="P1263"/>
    <s v="Patient_263"/>
    <n v="46"/>
    <x v="1"/>
    <x v="5"/>
    <x v="7"/>
    <n v="600"/>
  </r>
  <r>
    <s v="P1274"/>
    <s v="Patient_274"/>
    <n v="14"/>
    <x v="1"/>
    <x v="2"/>
    <x v="3"/>
    <n v="650"/>
  </r>
  <r>
    <s v="P1105"/>
    <s v="Patient_105"/>
    <n v="18"/>
    <x v="0"/>
    <x v="5"/>
    <x v="7"/>
    <n v="600"/>
  </r>
  <r>
    <s v="P1280"/>
    <s v="Patient_280"/>
    <n v="69"/>
    <x v="1"/>
    <x v="6"/>
    <x v="10"/>
    <n v="200"/>
  </r>
  <r>
    <s v="P1092"/>
    <s v="Patient_92"/>
    <n v="63"/>
    <x v="1"/>
    <x v="8"/>
    <x v="14"/>
    <n v="10"/>
  </r>
  <r>
    <s v="P1183"/>
    <s v="Patient_183"/>
    <n v="44"/>
    <x v="0"/>
    <x v="5"/>
    <x v="12"/>
    <n v="300"/>
  </r>
  <r>
    <s v="P1296"/>
    <s v="Patient_296"/>
    <n v="66"/>
    <x v="2"/>
    <x v="7"/>
    <x v="3"/>
    <n v="500"/>
  </r>
  <r>
    <s v="P1173"/>
    <s v="Patient_173"/>
    <n v="38"/>
    <x v="0"/>
    <x v="8"/>
    <x v="15"/>
    <n v="100"/>
  </r>
  <r>
    <s v="P1233"/>
    <s v="Patient_233"/>
    <n v="43"/>
    <x v="1"/>
    <x v="6"/>
    <x v="11"/>
    <n v="5"/>
  </r>
  <r>
    <s v="P1037"/>
    <s v="Patient_37"/>
    <n v="23"/>
    <x v="1"/>
    <x v="8"/>
    <x v="2"/>
    <n v="100"/>
  </r>
  <r>
    <s v="P1157"/>
    <s v="Patient_157"/>
    <n v="63"/>
    <x v="1"/>
    <x v="1"/>
    <x v="6"/>
    <n v="500"/>
  </r>
  <r>
    <s v="P1003"/>
    <s v="Patient_3"/>
    <n v="23"/>
    <x v="1"/>
    <x v="7"/>
    <x v="3"/>
    <n v="500"/>
  </r>
  <r>
    <s v="P1243"/>
    <s v="Patient_243"/>
    <n v="52"/>
    <x v="0"/>
    <x v="3"/>
    <x v="4"/>
    <n v="50"/>
  </r>
  <r>
    <s v="P1049"/>
    <s v="Patient_49"/>
    <n v="32"/>
    <x v="1"/>
    <x v="8"/>
    <x v="14"/>
    <n v="10"/>
  </r>
  <r>
    <s v="P1142"/>
    <s v="Patient_142"/>
    <n v="30"/>
    <x v="2"/>
    <x v="7"/>
    <x v="3"/>
    <n v="500"/>
  </r>
  <r>
    <s v="P1224"/>
    <s v="Patient_224"/>
    <n v="43"/>
    <x v="1"/>
    <x v="6"/>
    <x v="11"/>
    <n v="5"/>
  </r>
  <r>
    <s v="P1184"/>
    <s v="Patient_184"/>
    <n v="36"/>
    <x v="1"/>
    <x v="0"/>
    <x v="13"/>
    <n v="2"/>
  </r>
  <r>
    <s v="P1220"/>
    <s v="Patient_220"/>
    <n v="17"/>
    <x v="1"/>
    <x v="5"/>
    <x v="12"/>
    <n v="300"/>
  </r>
  <r>
    <s v="P1100"/>
    <s v="Patient_100"/>
    <n v="50"/>
    <x v="1"/>
    <x v="7"/>
    <x v="3"/>
    <n v="500"/>
  </r>
  <r>
    <s v="P1236"/>
    <s v="Patient_236"/>
    <n v="43"/>
    <x v="0"/>
    <x v="1"/>
    <x v="1"/>
    <n v="1000"/>
  </r>
  <r>
    <s v="P1118"/>
    <s v="Patient_118"/>
    <n v="72"/>
    <x v="0"/>
    <x v="3"/>
    <x v="9"/>
    <n v="5"/>
  </r>
  <r>
    <s v="P1002"/>
    <s v="Patient_2"/>
    <n v="43"/>
    <x v="0"/>
    <x v="3"/>
    <x v="5"/>
    <n v="50"/>
  </r>
  <r>
    <s v="P1114"/>
    <s v="Patient_114"/>
    <n v="80"/>
    <x v="0"/>
    <x v="6"/>
    <x v="10"/>
    <n v="200"/>
  </r>
  <r>
    <s v="P1297"/>
    <s v="Patient_297"/>
    <n v="79"/>
    <x v="2"/>
    <x v="0"/>
    <x v="0"/>
    <n v="10"/>
  </r>
  <r>
    <s v="P1175"/>
    <s v="Patient_175"/>
    <n v="42"/>
    <x v="0"/>
    <x v="5"/>
    <x v="7"/>
    <n v="600"/>
  </r>
  <r>
    <s v="P1254"/>
    <s v="Patient_254"/>
    <n v="41"/>
    <x v="0"/>
    <x v="5"/>
    <x v="12"/>
    <n v="300"/>
  </r>
  <r>
    <s v="P1286"/>
    <s v="Patient_286"/>
    <n v="30"/>
    <x v="1"/>
    <x v="8"/>
    <x v="14"/>
    <n v="10"/>
  </r>
  <r>
    <s v="P1185"/>
    <s v="Patient_185"/>
    <n v="42"/>
    <x v="1"/>
    <x v="7"/>
    <x v="3"/>
    <n v="500"/>
  </r>
  <r>
    <s v="P1166"/>
    <s v="Patient_166"/>
    <n v="55"/>
    <x v="0"/>
    <x v="1"/>
    <x v="1"/>
    <n v="1000"/>
  </r>
  <r>
    <s v="P1275"/>
    <s v="Patient_275"/>
    <n v="9"/>
    <x v="0"/>
    <x v="1"/>
    <x v="1"/>
    <n v="1000"/>
  </r>
  <r>
    <s v="P1193"/>
    <s v="Patient_193"/>
    <n v="21"/>
    <x v="1"/>
    <x v="5"/>
    <x v="7"/>
    <n v="600"/>
  </r>
  <r>
    <s v="P1001"/>
    <s v="Patient_1"/>
    <n v="69"/>
    <x v="1"/>
    <x v="2"/>
    <x v="3"/>
    <n v="650"/>
  </r>
  <r>
    <s v="P1055"/>
    <s v="Patient_55"/>
    <n v="70"/>
    <x v="0"/>
    <x v="0"/>
    <x v="8"/>
    <n v="500"/>
  </r>
  <r>
    <s v="P1029"/>
    <s v="Patient_29"/>
    <n v="67"/>
    <x v="0"/>
    <x v="6"/>
    <x v="11"/>
    <n v="5"/>
  </r>
  <r>
    <s v="P1207"/>
    <s v="Patient_207"/>
    <n v="44"/>
    <x v="1"/>
    <x v="7"/>
    <x v="3"/>
    <n v="500"/>
  </r>
  <r>
    <s v="P1050"/>
    <s v="Patient_50"/>
    <n v="48"/>
    <x v="0"/>
    <x v="8"/>
    <x v="14"/>
    <n v="10"/>
  </r>
  <r>
    <s v="P1021"/>
    <s v="Patient_21"/>
    <n v="17"/>
    <x v="0"/>
    <x v="2"/>
    <x v="3"/>
    <n v="650"/>
  </r>
  <r>
    <s v="P1294"/>
    <s v="Patient_294"/>
    <n v="16"/>
    <x v="0"/>
    <x v="2"/>
    <x v="3"/>
    <n v="650"/>
  </r>
  <r>
    <s v="P1177"/>
    <s v="Patient_177"/>
    <n v="38"/>
    <x v="0"/>
    <x v="3"/>
    <x v="2"/>
    <n v="5"/>
  </r>
  <r>
    <s v="P1034"/>
    <s v="Patient_34"/>
    <n v="27"/>
    <x v="1"/>
    <x v="2"/>
    <x v="3"/>
    <n v="650"/>
  </r>
  <r>
    <s v="P1172"/>
    <s v="Patient_172"/>
    <n v="43"/>
    <x v="0"/>
    <x v="8"/>
    <x v="14"/>
    <n v="10"/>
  </r>
  <r>
    <s v="P1107"/>
    <s v="Patient_107"/>
    <n v="32"/>
    <x v="0"/>
    <x v="7"/>
    <x v="3"/>
    <n v="500"/>
  </r>
  <r>
    <s v="P1098"/>
    <s v="Patient_98"/>
    <n v="55"/>
    <x v="0"/>
    <x v="2"/>
    <x v="3"/>
    <n v="650"/>
  </r>
  <r>
    <s v="P1111"/>
    <s v="Patient_111"/>
    <n v="36"/>
    <x v="0"/>
    <x v="3"/>
    <x v="4"/>
    <n v="50"/>
  </r>
  <r>
    <s v="P1070"/>
    <s v="Patient_70"/>
    <n v="31"/>
    <x v="0"/>
    <x v="6"/>
    <x v="11"/>
    <n v="5"/>
  </r>
  <r>
    <s v="P1130"/>
    <s v="Patient_130"/>
    <n v="29"/>
    <x v="1"/>
    <x v="2"/>
    <x v="3"/>
    <n v="650"/>
  </r>
  <r>
    <s v="P1151"/>
    <s v="Patient_151"/>
    <n v="8"/>
    <x v="1"/>
    <x v="5"/>
    <x v="7"/>
    <n v="600"/>
  </r>
  <r>
    <s v="P1027"/>
    <s v="Patient_27"/>
    <n v="37"/>
    <x v="0"/>
    <x v="1"/>
    <x v="6"/>
    <n v="300"/>
  </r>
  <r>
    <s v="P1094"/>
    <s v="Patient_94"/>
    <n v="39"/>
    <x v="1"/>
    <x v="6"/>
    <x v="10"/>
    <n v="200"/>
  </r>
  <r>
    <s v="P1149"/>
    <s v="Patient_149"/>
    <n v="43"/>
    <x v="0"/>
    <x v="5"/>
    <x v="12"/>
    <n v="300"/>
  </r>
  <r>
    <s v="P1120"/>
    <s v="Patient_120"/>
    <n v="79"/>
    <x v="1"/>
    <x v="7"/>
    <x v="3"/>
    <n v="500"/>
  </r>
  <r>
    <s v="P1139"/>
    <s v="Patient_139"/>
    <n v="50"/>
    <x v="0"/>
    <x v="3"/>
    <x v="9"/>
    <n v="5"/>
  </r>
  <r>
    <s v="P1170"/>
    <s v="Patient_170"/>
    <n v="43"/>
    <x v="1"/>
    <x v="6"/>
    <x v="11"/>
    <n v="5"/>
  </r>
  <r>
    <s v="P1203"/>
    <s v="Patient_203"/>
    <n v="32"/>
    <x v="1"/>
    <x v="1"/>
    <x v="6"/>
    <n v="500"/>
  </r>
  <r>
    <s v="P1148"/>
    <s v="Patient_148"/>
    <n v="43"/>
    <x v="0"/>
    <x v="0"/>
    <x v="2"/>
    <n v="10"/>
  </r>
  <r>
    <s v="P1278"/>
    <s v="Patient_278"/>
    <n v="28"/>
    <x v="0"/>
    <x v="5"/>
    <x v="12"/>
    <n v="300"/>
  </r>
  <r>
    <s v="P1257"/>
    <s v="Patient_257"/>
    <n v="35"/>
    <x v="0"/>
    <x v="4"/>
    <x v="11"/>
    <n v="5"/>
  </r>
  <r>
    <s v="P1132"/>
    <s v="Patient_132"/>
    <n v="32"/>
    <x v="1"/>
    <x v="7"/>
    <x v="3"/>
    <n v="500"/>
  </r>
  <r>
    <s v="P1250"/>
    <s v="Patient_250"/>
    <n v="82"/>
    <x v="1"/>
    <x v="3"/>
    <x v="5"/>
    <n v="50"/>
  </r>
  <r>
    <s v="P1153"/>
    <s v="Patient_153"/>
    <n v="20"/>
    <x v="1"/>
    <x v="1"/>
    <x v="1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279F5-5768-422D-AC29-49AAE6F73C2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1" firstHeaderRow="1" firstDataRow="1" firstDataCol="1"/>
  <pivotFields count="7">
    <pivotField dataField="1" showAll="0"/>
    <pivotField showAll="0"/>
    <pivotField showAll="0"/>
    <pivotField showAll="0"/>
    <pivotField axis="axisRow" showAll="0" sortType="descending">
      <items count="10">
        <item x="4"/>
        <item x="1"/>
        <item x="5"/>
        <item x="3"/>
        <item x="2"/>
        <item x="0"/>
        <item x="7"/>
        <item x="8"/>
        <item x="6"/>
        <item t="default"/>
      </items>
    </pivotField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atient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9413A-D575-4899-8AF9-CA958642B51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7">
    <pivotField dataField="1" showAll="0"/>
    <pivotField showAll="0"/>
    <pivotField showAll="0"/>
    <pivotField axis="axisRow" showAll="0" sortType="descending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AC990-B0A1-4B6E-A3DD-A9DEC097282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8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 sortType="descending">
      <items count="17">
        <item x="2"/>
        <item x="15"/>
        <item x="7"/>
        <item x="3"/>
        <item x="14"/>
        <item x="8"/>
        <item x="5"/>
        <item x="12"/>
        <item x="0"/>
        <item x="13"/>
        <item x="11"/>
        <item x="10"/>
        <item x="1"/>
        <item x="6"/>
        <item x="4"/>
        <item x="9"/>
        <item t="default"/>
      </items>
    </pivotField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Patient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89F77-37A9-4F73-8402-0294E2716900}" name="Table1" displayName="Table1" ref="A1:G301" totalsRowShown="0">
  <autoFilter ref="A1:G301" xr:uid="{76789F77-37A9-4F73-8402-0294E2716900}"/>
  <tableColumns count="7">
    <tableColumn id="1" xr3:uid="{92B198F3-C913-4D07-911C-74E55F93101C}" name="PatientID"/>
    <tableColumn id="2" xr3:uid="{6D811F74-A1A8-44C3-8BBD-0590E0B435AA}" name="Name"/>
    <tableColumn id="3" xr3:uid="{699F345B-F6EF-4329-801B-11A7735AC973}" name="Age"/>
    <tableColumn id="4" xr3:uid="{963FE706-97A1-4D26-B790-09079FDF481B}" name="Gender"/>
    <tableColumn id="5" xr3:uid="{C81CAA09-7AFC-4EFA-A534-66894CEE8B14}" name="Disease"/>
    <tableColumn id="6" xr3:uid="{5D3E8825-7BF2-49AD-B519-927E6613B59C}" name="Medication"/>
    <tableColumn id="7" xr3:uid="{D7F50A4E-BE94-42E4-92ED-9FCFAF50B9DC}" name="Do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1CE9-92B2-470C-BED2-6267F7DE601B}">
  <dimension ref="A1:B11"/>
  <sheetViews>
    <sheetView tabSelected="1" topLeftCell="A35" workbookViewId="0">
      <selection activeCell="I19" sqref="I19"/>
    </sheetView>
  </sheetViews>
  <sheetFormatPr defaultRowHeight="15" x14ac:dyDescent="0.25"/>
  <cols>
    <col min="1" max="1" width="13.140625" bestFit="1" customWidth="1"/>
    <col min="2" max="2" width="17.5703125" bestFit="1" customWidth="1"/>
  </cols>
  <sheetData>
    <row r="1" spans="1:2" x14ac:dyDescent="0.25">
      <c r="A1" s="1" t="s">
        <v>637</v>
      </c>
      <c r="B1" t="s">
        <v>639</v>
      </c>
    </row>
    <row r="2" spans="1:2" x14ac:dyDescent="0.25">
      <c r="A2" s="2" t="s">
        <v>632</v>
      </c>
      <c r="B2">
        <v>12</v>
      </c>
    </row>
    <row r="3" spans="1:2" x14ac:dyDescent="0.25">
      <c r="A3" s="2" t="s">
        <v>615</v>
      </c>
      <c r="B3">
        <v>39</v>
      </c>
    </row>
    <row r="4" spans="1:2" x14ac:dyDescent="0.25">
      <c r="A4" s="2" t="s">
        <v>613</v>
      </c>
      <c r="B4">
        <v>55</v>
      </c>
    </row>
    <row r="5" spans="1:2" x14ac:dyDescent="0.25">
      <c r="A5" s="2" t="s">
        <v>611</v>
      </c>
      <c r="B5">
        <v>35</v>
      </c>
    </row>
    <row r="6" spans="1:2" x14ac:dyDescent="0.25">
      <c r="A6" s="2" t="s">
        <v>610</v>
      </c>
      <c r="B6">
        <v>28</v>
      </c>
    </row>
    <row r="7" spans="1:2" x14ac:dyDescent="0.25">
      <c r="A7" s="2" t="s">
        <v>609</v>
      </c>
      <c r="B7">
        <v>31</v>
      </c>
    </row>
    <row r="8" spans="1:2" x14ac:dyDescent="0.25">
      <c r="A8" s="2" t="s">
        <v>614</v>
      </c>
      <c r="B8">
        <v>33</v>
      </c>
    </row>
    <row r="9" spans="1:2" x14ac:dyDescent="0.25">
      <c r="A9" s="2" t="s">
        <v>616</v>
      </c>
      <c r="B9">
        <v>31</v>
      </c>
    </row>
    <row r="10" spans="1:2" x14ac:dyDescent="0.25">
      <c r="A10" s="2" t="s">
        <v>612</v>
      </c>
      <c r="B10">
        <v>36</v>
      </c>
    </row>
    <row r="11" spans="1:2" x14ac:dyDescent="0.25">
      <c r="A11" s="2" t="s">
        <v>638</v>
      </c>
      <c r="B11">
        <v>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B336-2681-4B35-8B15-7C8D64DE2844}">
  <dimension ref="A1:B5"/>
  <sheetViews>
    <sheetView workbookViewId="0">
      <selection activeCell="N14" sqref="N14"/>
    </sheetView>
  </sheetViews>
  <sheetFormatPr defaultRowHeight="15" x14ac:dyDescent="0.25"/>
  <cols>
    <col min="1" max="1" width="13.140625" bestFit="1" customWidth="1"/>
    <col min="2" max="2" width="17.5703125" bestFit="1" customWidth="1"/>
  </cols>
  <sheetData>
    <row r="1" spans="1:2" x14ac:dyDescent="0.25">
      <c r="A1" s="1" t="s">
        <v>637</v>
      </c>
      <c r="B1" t="s">
        <v>639</v>
      </c>
    </row>
    <row r="2" spans="1:2" x14ac:dyDescent="0.25">
      <c r="A2" s="2" t="s">
        <v>632</v>
      </c>
      <c r="B2">
        <v>12</v>
      </c>
    </row>
    <row r="3" spans="1:2" x14ac:dyDescent="0.25">
      <c r="A3" s="2" t="s">
        <v>607</v>
      </c>
      <c r="B3">
        <v>153</v>
      </c>
    </row>
    <row r="4" spans="1:2" x14ac:dyDescent="0.25">
      <c r="A4" s="2" t="s">
        <v>608</v>
      </c>
      <c r="B4">
        <v>135</v>
      </c>
    </row>
    <row r="5" spans="1:2" x14ac:dyDescent="0.25">
      <c r="A5" s="2" t="s">
        <v>638</v>
      </c>
      <c r="B5">
        <v>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0A9B-1E3E-4D8E-BAB8-DDDA79C5CE3A}">
  <dimension ref="A1:B6"/>
  <sheetViews>
    <sheetView topLeftCell="A184" workbookViewId="0">
      <selection activeCell="P9" sqref="P9"/>
    </sheetView>
  </sheetViews>
  <sheetFormatPr defaultRowHeight="15" x14ac:dyDescent="0.25"/>
  <cols>
    <col min="1" max="1" width="15" customWidth="1"/>
  </cols>
  <sheetData>
    <row r="1" spans="1:2" x14ac:dyDescent="0.25">
      <c r="A1" t="s">
        <v>640</v>
      </c>
      <c r="B1" t="s">
        <v>646</v>
      </c>
    </row>
    <row r="2" spans="1:2" x14ac:dyDescent="0.25">
      <c r="A2" t="s">
        <v>641</v>
      </c>
      <c r="B2">
        <f>COUNTIFS(Sheet1!C2:C301,"&gt;=0",Sheet1!C2:C301,"&lt;=18")</f>
        <v>41</v>
      </c>
    </row>
    <row r="3" spans="1:2" x14ac:dyDescent="0.25">
      <c r="A3" t="s">
        <v>642</v>
      </c>
      <c r="B3">
        <f>COUNTIFS(Sheet1!C2:C301,"&gt;=19",Sheet1!C2:C301,"&lt;=30")</f>
        <v>41</v>
      </c>
    </row>
    <row r="4" spans="1:2" x14ac:dyDescent="0.25">
      <c r="A4" t="s">
        <v>643</v>
      </c>
      <c r="B4">
        <f>COUNTIFS(Sheet1!C2:C301,"&gt;=31",Sheet1!C2:C301,"&lt;=45")</f>
        <v>88</v>
      </c>
    </row>
    <row r="5" spans="1:2" x14ac:dyDescent="0.25">
      <c r="A5" t="s">
        <v>644</v>
      </c>
      <c r="B5">
        <f>COUNTIFS(Sheet1!C2:C301,"&gt;=46",Sheet1!C2:C301,"&lt;=60")</f>
        <v>58</v>
      </c>
    </row>
    <row r="6" spans="1:2" x14ac:dyDescent="0.25">
      <c r="A6" t="s">
        <v>645</v>
      </c>
      <c r="B6">
        <f>COUNTIFS(Sheet1!C2:C301,"&gt;=61")</f>
        <v>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A91E-C005-45C0-B044-BCA9B0B5A562}">
  <dimension ref="A1:B18"/>
  <sheetViews>
    <sheetView workbookViewId="0">
      <selection activeCell="M14" sqref="M14"/>
    </sheetView>
  </sheetViews>
  <sheetFormatPr defaultRowHeight="15" x14ac:dyDescent="0.25"/>
  <cols>
    <col min="1" max="1" width="14.5703125" bestFit="1" customWidth="1"/>
    <col min="2" max="2" width="17.5703125" bestFit="1" customWidth="1"/>
  </cols>
  <sheetData>
    <row r="1" spans="1:2" x14ac:dyDescent="0.25">
      <c r="A1" s="1" t="s">
        <v>637</v>
      </c>
      <c r="B1" t="s">
        <v>639</v>
      </c>
    </row>
    <row r="2" spans="1:2" x14ac:dyDescent="0.25">
      <c r="A2" s="2" t="s">
        <v>632</v>
      </c>
      <c r="B2" s="3">
        <v>12</v>
      </c>
    </row>
    <row r="3" spans="1:2" x14ac:dyDescent="0.25">
      <c r="A3" s="2" t="s">
        <v>631</v>
      </c>
      <c r="B3" s="3">
        <v>14</v>
      </c>
    </row>
    <row r="4" spans="1:2" x14ac:dyDescent="0.25">
      <c r="A4" s="2" t="s">
        <v>623</v>
      </c>
      <c r="B4" s="3">
        <v>30</v>
      </c>
    </row>
    <row r="5" spans="1:2" x14ac:dyDescent="0.25">
      <c r="A5" s="2" t="s">
        <v>619</v>
      </c>
      <c r="B5" s="3">
        <v>62</v>
      </c>
    </row>
    <row r="6" spans="1:2" x14ac:dyDescent="0.25">
      <c r="A6" s="2" t="s">
        <v>630</v>
      </c>
      <c r="B6" s="3">
        <v>16</v>
      </c>
    </row>
    <row r="7" spans="1:2" x14ac:dyDescent="0.25">
      <c r="A7" s="2" t="s">
        <v>624</v>
      </c>
      <c r="B7" s="3">
        <v>11</v>
      </c>
    </row>
    <row r="8" spans="1:2" x14ac:dyDescent="0.25">
      <c r="A8" s="2" t="s">
        <v>621</v>
      </c>
      <c r="B8" s="3">
        <v>14</v>
      </c>
    </row>
    <row r="9" spans="1:2" x14ac:dyDescent="0.25">
      <c r="A9" s="2" t="s">
        <v>628</v>
      </c>
      <c r="B9" s="3">
        <v>23</v>
      </c>
    </row>
    <row r="10" spans="1:2" x14ac:dyDescent="0.25">
      <c r="A10" s="2" t="s">
        <v>617</v>
      </c>
      <c r="B10" s="3">
        <v>8</v>
      </c>
    </row>
    <row r="11" spans="1:2" x14ac:dyDescent="0.25">
      <c r="A11" s="2" t="s">
        <v>629</v>
      </c>
      <c r="B11" s="3">
        <v>9</v>
      </c>
    </row>
    <row r="12" spans="1:2" x14ac:dyDescent="0.25">
      <c r="A12" s="2" t="s">
        <v>627</v>
      </c>
      <c r="B12" s="3">
        <v>21</v>
      </c>
    </row>
    <row r="13" spans="1:2" x14ac:dyDescent="0.25">
      <c r="A13" s="2" t="s">
        <v>626</v>
      </c>
      <c r="B13" s="3">
        <v>16</v>
      </c>
    </row>
    <row r="14" spans="1:2" x14ac:dyDescent="0.25">
      <c r="A14" s="2" t="s">
        <v>618</v>
      </c>
      <c r="B14" s="3">
        <v>23</v>
      </c>
    </row>
    <row r="15" spans="1:2" x14ac:dyDescent="0.25">
      <c r="A15" s="2" t="s">
        <v>622</v>
      </c>
      <c r="B15" s="3">
        <v>17</v>
      </c>
    </row>
    <row r="16" spans="1:2" x14ac:dyDescent="0.25">
      <c r="A16" s="2" t="s">
        <v>620</v>
      </c>
      <c r="B16" s="3">
        <v>14</v>
      </c>
    </row>
    <row r="17" spans="1:2" x14ac:dyDescent="0.25">
      <c r="A17" s="2" t="s">
        <v>625</v>
      </c>
      <c r="B17" s="3">
        <v>10</v>
      </c>
    </row>
    <row r="18" spans="1:2" x14ac:dyDescent="0.25">
      <c r="A18" s="2" t="s">
        <v>638</v>
      </c>
      <c r="B18" s="3">
        <v>300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opLeftCell="A2" workbookViewId="0">
      <selection activeCell="A2" sqref="A2"/>
    </sheetView>
  </sheetViews>
  <sheetFormatPr defaultRowHeight="15" x14ac:dyDescent="0.25"/>
  <cols>
    <col min="1" max="1" width="15.28515625" customWidth="1"/>
    <col min="2" max="2" width="18.42578125" customWidth="1"/>
    <col min="3" max="3" width="16" customWidth="1"/>
    <col min="4" max="4" width="15.7109375" customWidth="1"/>
    <col min="5" max="5" width="14.28515625" customWidth="1"/>
    <col min="6" max="7" width="15.85546875" customWidth="1"/>
    <col min="10" max="10" width="21.7109375" customWidth="1"/>
    <col min="11" max="11" width="16.42578125" customWidth="1"/>
    <col min="13" max="13" width="14.140625" customWidth="1"/>
    <col min="14" max="14" width="13.42578125" customWidth="1"/>
    <col min="15" max="16" width="16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5">
      <c r="A2" t="s">
        <v>7</v>
      </c>
      <c r="B2" t="s">
        <v>307</v>
      </c>
      <c r="C2">
        <v>71</v>
      </c>
      <c r="D2" t="s">
        <v>607</v>
      </c>
      <c r="E2" t="s">
        <v>609</v>
      </c>
      <c r="F2" t="s">
        <v>617</v>
      </c>
      <c r="G2">
        <v>300</v>
      </c>
      <c r="J2" t="s">
        <v>633</v>
      </c>
      <c r="K2">
        <f>COUNTA(A2:A301)</f>
        <v>300</v>
      </c>
    </row>
    <row r="3" spans="1:11" x14ac:dyDescent="0.25">
      <c r="A3" t="s">
        <v>8</v>
      </c>
      <c r="B3" t="s">
        <v>308</v>
      </c>
      <c r="C3">
        <v>5</v>
      </c>
      <c r="D3" t="s">
        <v>608</v>
      </c>
      <c r="E3" t="s">
        <v>615</v>
      </c>
      <c r="F3" t="s">
        <v>618</v>
      </c>
      <c r="G3">
        <v>1000</v>
      </c>
      <c r="J3" t="s">
        <v>634</v>
      </c>
      <c r="K3">
        <f>ROUND(AVERAGE(C2:C301),1)</f>
        <v>43.9</v>
      </c>
    </row>
    <row r="4" spans="1:11" x14ac:dyDescent="0.25">
      <c r="A4" t="s">
        <v>9</v>
      </c>
      <c r="B4" t="s">
        <v>309</v>
      </c>
      <c r="C4">
        <v>43</v>
      </c>
      <c r="D4" t="s">
        <v>607</v>
      </c>
      <c r="E4" t="s">
        <v>609</v>
      </c>
      <c r="F4" t="s">
        <v>632</v>
      </c>
      <c r="G4">
        <v>10</v>
      </c>
      <c r="J4" t="s">
        <v>635</v>
      </c>
      <c r="K4">
        <f>ROUND(AVERAGE(G2:G301),1)</f>
        <v>352.9</v>
      </c>
    </row>
    <row r="5" spans="1:11" x14ac:dyDescent="0.25">
      <c r="A5" t="s">
        <v>10</v>
      </c>
      <c r="B5" t="s">
        <v>310</v>
      </c>
      <c r="C5">
        <v>36</v>
      </c>
      <c r="D5" t="s">
        <v>632</v>
      </c>
      <c r="E5" t="s">
        <v>610</v>
      </c>
      <c r="F5" t="s">
        <v>619</v>
      </c>
      <c r="G5">
        <v>650</v>
      </c>
      <c r="J5" t="s">
        <v>636</v>
      </c>
      <c r="K5" t="str" cm="1">
        <f t="array" ref="K5">INDEX(E2:E301,MODE(MATCH(E2:E301,E2:E301,0)))</f>
        <v>Tuberculosis</v>
      </c>
    </row>
    <row r="6" spans="1:11" x14ac:dyDescent="0.25">
      <c r="A6" t="s">
        <v>11</v>
      </c>
      <c r="B6" t="s">
        <v>311</v>
      </c>
      <c r="C6">
        <v>12</v>
      </c>
      <c r="D6" t="s">
        <v>608</v>
      </c>
      <c r="E6" t="s">
        <v>611</v>
      </c>
      <c r="F6" t="s">
        <v>620</v>
      </c>
      <c r="G6">
        <v>50</v>
      </c>
    </row>
    <row r="7" spans="1:11" x14ac:dyDescent="0.25">
      <c r="A7" t="s">
        <v>12</v>
      </c>
      <c r="B7" t="s">
        <v>312</v>
      </c>
      <c r="C7">
        <v>55</v>
      </c>
      <c r="D7" t="s">
        <v>607</v>
      </c>
      <c r="E7" t="s">
        <v>611</v>
      </c>
      <c r="F7" t="s">
        <v>621</v>
      </c>
      <c r="G7">
        <v>50</v>
      </c>
    </row>
    <row r="8" spans="1:11" x14ac:dyDescent="0.25">
      <c r="A8" t="s">
        <v>13</v>
      </c>
      <c r="B8" t="s">
        <v>313</v>
      </c>
      <c r="C8">
        <v>26</v>
      </c>
      <c r="D8" t="s">
        <v>608</v>
      </c>
      <c r="E8" t="s">
        <v>632</v>
      </c>
      <c r="F8" t="s">
        <v>620</v>
      </c>
      <c r="G8">
        <v>50</v>
      </c>
    </row>
    <row r="9" spans="1:11" x14ac:dyDescent="0.25">
      <c r="A9" t="s">
        <v>14</v>
      </c>
      <c r="B9" t="s">
        <v>314</v>
      </c>
      <c r="C9">
        <v>39</v>
      </c>
      <c r="D9" t="s">
        <v>607</v>
      </c>
      <c r="E9" t="s">
        <v>615</v>
      </c>
      <c r="F9" t="s">
        <v>622</v>
      </c>
      <c r="G9">
        <v>500</v>
      </c>
    </row>
    <row r="10" spans="1:11" x14ac:dyDescent="0.25">
      <c r="A10" t="s">
        <v>15</v>
      </c>
      <c r="B10" t="s">
        <v>315</v>
      </c>
      <c r="C10">
        <v>56</v>
      </c>
      <c r="D10" t="s">
        <v>632</v>
      </c>
      <c r="E10" t="s">
        <v>613</v>
      </c>
      <c r="F10" t="s">
        <v>623</v>
      </c>
      <c r="G10">
        <v>300</v>
      </c>
    </row>
    <row r="11" spans="1:11" x14ac:dyDescent="0.25">
      <c r="A11" t="s">
        <v>16</v>
      </c>
      <c r="B11" t="s">
        <v>316</v>
      </c>
      <c r="C11">
        <v>37</v>
      </c>
      <c r="D11" t="s">
        <v>607</v>
      </c>
      <c r="E11" t="s">
        <v>610</v>
      </c>
      <c r="F11" t="s">
        <v>619</v>
      </c>
      <c r="G11">
        <v>650</v>
      </c>
    </row>
    <row r="12" spans="1:11" x14ac:dyDescent="0.25">
      <c r="A12" t="s">
        <v>17</v>
      </c>
      <c r="B12" t="s">
        <v>317</v>
      </c>
      <c r="C12">
        <v>59</v>
      </c>
      <c r="D12" t="s">
        <v>607</v>
      </c>
      <c r="E12" t="s">
        <v>609</v>
      </c>
      <c r="F12" t="s">
        <v>624</v>
      </c>
      <c r="G12">
        <v>500</v>
      </c>
    </row>
    <row r="13" spans="1:11" x14ac:dyDescent="0.25">
      <c r="A13" t="s">
        <v>18</v>
      </c>
      <c r="B13" t="s">
        <v>318</v>
      </c>
      <c r="C13">
        <v>43</v>
      </c>
      <c r="D13" t="s">
        <v>607</v>
      </c>
      <c r="E13" t="s">
        <v>615</v>
      </c>
      <c r="F13" t="s">
        <v>622</v>
      </c>
      <c r="G13">
        <v>300</v>
      </c>
    </row>
    <row r="14" spans="1:11" x14ac:dyDescent="0.25">
      <c r="A14" t="s">
        <v>19</v>
      </c>
      <c r="B14" t="s">
        <v>319</v>
      </c>
      <c r="C14">
        <v>37</v>
      </c>
      <c r="D14" t="s">
        <v>607</v>
      </c>
      <c r="E14" t="s">
        <v>611</v>
      </c>
      <c r="F14" t="s">
        <v>625</v>
      </c>
      <c r="G14">
        <v>5</v>
      </c>
    </row>
    <row r="15" spans="1:11" x14ac:dyDescent="0.25">
      <c r="A15" t="s">
        <v>20</v>
      </c>
      <c r="B15" t="s">
        <v>320</v>
      </c>
      <c r="C15">
        <v>68</v>
      </c>
      <c r="D15" t="s">
        <v>607</v>
      </c>
      <c r="E15" t="s">
        <v>612</v>
      </c>
      <c r="F15" t="s">
        <v>626</v>
      </c>
      <c r="G15">
        <v>200</v>
      </c>
    </row>
    <row r="16" spans="1:11" x14ac:dyDescent="0.25">
      <c r="A16" t="s">
        <v>21</v>
      </c>
      <c r="B16" t="s">
        <v>321</v>
      </c>
      <c r="C16">
        <v>73</v>
      </c>
      <c r="D16" t="s">
        <v>607</v>
      </c>
      <c r="E16" t="s">
        <v>611</v>
      </c>
      <c r="F16" t="s">
        <v>621</v>
      </c>
      <c r="G16">
        <v>50</v>
      </c>
    </row>
    <row r="17" spans="1:7" x14ac:dyDescent="0.25">
      <c r="A17" t="s">
        <v>22</v>
      </c>
      <c r="B17" t="s">
        <v>322</v>
      </c>
      <c r="C17">
        <v>43</v>
      </c>
      <c r="D17" t="s">
        <v>607</v>
      </c>
      <c r="E17" t="s">
        <v>611</v>
      </c>
      <c r="F17" t="s">
        <v>625</v>
      </c>
      <c r="G17">
        <v>5</v>
      </c>
    </row>
    <row r="18" spans="1:7" x14ac:dyDescent="0.25">
      <c r="A18" t="s">
        <v>23</v>
      </c>
      <c r="B18" t="s">
        <v>323</v>
      </c>
      <c r="C18">
        <v>27</v>
      </c>
      <c r="D18" t="s">
        <v>608</v>
      </c>
      <c r="E18" t="s">
        <v>615</v>
      </c>
      <c r="F18" t="s">
        <v>622</v>
      </c>
      <c r="G18">
        <v>500</v>
      </c>
    </row>
    <row r="19" spans="1:7" x14ac:dyDescent="0.25">
      <c r="A19" t="s">
        <v>24</v>
      </c>
      <c r="B19" t="s">
        <v>324</v>
      </c>
      <c r="C19">
        <v>6</v>
      </c>
      <c r="D19" t="s">
        <v>608</v>
      </c>
      <c r="E19" t="s">
        <v>614</v>
      </c>
      <c r="F19" t="s">
        <v>619</v>
      </c>
      <c r="G19">
        <v>500</v>
      </c>
    </row>
    <row r="20" spans="1:7" x14ac:dyDescent="0.25">
      <c r="A20" t="s">
        <v>25</v>
      </c>
      <c r="B20" t="s">
        <v>325</v>
      </c>
      <c r="C20">
        <v>27</v>
      </c>
      <c r="D20" t="s">
        <v>607</v>
      </c>
      <c r="E20" t="s">
        <v>614</v>
      </c>
      <c r="F20" t="s">
        <v>619</v>
      </c>
      <c r="G20">
        <v>500</v>
      </c>
    </row>
    <row r="21" spans="1:7" x14ac:dyDescent="0.25">
      <c r="A21" t="s">
        <v>26</v>
      </c>
      <c r="B21" t="s">
        <v>326</v>
      </c>
      <c r="C21">
        <v>67</v>
      </c>
      <c r="D21" t="s">
        <v>607</v>
      </c>
      <c r="E21" t="s">
        <v>615</v>
      </c>
      <c r="F21" t="s">
        <v>618</v>
      </c>
      <c r="G21">
        <v>1000</v>
      </c>
    </row>
    <row r="22" spans="1:7" x14ac:dyDescent="0.25">
      <c r="A22" t="s">
        <v>27</v>
      </c>
      <c r="B22" t="s">
        <v>327</v>
      </c>
      <c r="C22">
        <v>64</v>
      </c>
      <c r="D22" t="s">
        <v>608</v>
      </c>
      <c r="E22" t="s">
        <v>612</v>
      </c>
      <c r="F22" t="s">
        <v>627</v>
      </c>
      <c r="G22">
        <v>300</v>
      </c>
    </row>
    <row r="23" spans="1:7" x14ac:dyDescent="0.25">
      <c r="A23" t="s">
        <v>28</v>
      </c>
      <c r="B23" t="s">
        <v>328</v>
      </c>
      <c r="C23">
        <v>43</v>
      </c>
      <c r="D23" t="s">
        <v>607</v>
      </c>
      <c r="E23" t="s">
        <v>611</v>
      </c>
      <c r="F23" t="s">
        <v>625</v>
      </c>
      <c r="G23">
        <v>5</v>
      </c>
    </row>
    <row r="24" spans="1:7" x14ac:dyDescent="0.25">
      <c r="A24" t="s">
        <v>29</v>
      </c>
      <c r="B24" t="s">
        <v>329</v>
      </c>
      <c r="C24">
        <v>57</v>
      </c>
      <c r="D24" t="s">
        <v>608</v>
      </c>
      <c r="E24" t="s">
        <v>614</v>
      </c>
      <c r="F24" t="s">
        <v>619</v>
      </c>
      <c r="G24">
        <v>500</v>
      </c>
    </row>
    <row r="25" spans="1:7" x14ac:dyDescent="0.25">
      <c r="A25" t="s">
        <v>30</v>
      </c>
      <c r="B25" t="s">
        <v>330</v>
      </c>
      <c r="C25">
        <v>45</v>
      </c>
      <c r="D25" t="s">
        <v>607</v>
      </c>
      <c r="E25" t="s">
        <v>613</v>
      </c>
      <c r="F25" t="s">
        <v>623</v>
      </c>
      <c r="G25">
        <v>600</v>
      </c>
    </row>
    <row r="26" spans="1:7" x14ac:dyDescent="0.25">
      <c r="A26" t="s">
        <v>31</v>
      </c>
      <c r="B26" t="s">
        <v>331</v>
      </c>
      <c r="C26">
        <v>56</v>
      </c>
      <c r="D26" t="s">
        <v>608</v>
      </c>
      <c r="E26" t="s">
        <v>615</v>
      </c>
      <c r="F26" t="s">
        <v>622</v>
      </c>
      <c r="G26">
        <v>500</v>
      </c>
    </row>
    <row r="27" spans="1:7" x14ac:dyDescent="0.25">
      <c r="A27" t="s">
        <v>32</v>
      </c>
      <c r="B27" t="s">
        <v>332</v>
      </c>
      <c r="C27">
        <v>81</v>
      </c>
      <c r="D27" t="s">
        <v>632</v>
      </c>
      <c r="E27" t="s">
        <v>613</v>
      </c>
      <c r="F27" t="s">
        <v>623</v>
      </c>
      <c r="G27">
        <v>600</v>
      </c>
    </row>
    <row r="28" spans="1:7" x14ac:dyDescent="0.25">
      <c r="A28" t="s">
        <v>33</v>
      </c>
      <c r="B28" t="s">
        <v>333</v>
      </c>
      <c r="C28">
        <v>23</v>
      </c>
      <c r="D28" t="s">
        <v>608</v>
      </c>
      <c r="E28" t="s">
        <v>615</v>
      </c>
      <c r="F28" t="s">
        <v>618</v>
      </c>
      <c r="G28">
        <v>1000</v>
      </c>
    </row>
    <row r="29" spans="1:7" x14ac:dyDescent="0.25">
      <c r="A29" t="s">
        <v>34</v>
      </c>
      <c r="B29" t="s">
        <v>334</v>
      </c>
      <c r="C29">
        <v>6</v>
      </c>
      <c r="D29" t="s">
        <v>608</v>
      </c>
      <c r="E29" t="s">
        <v>610</v>
      </c>
      <c r="F29" t="s">
        <v>619</v>
      </c>
      <c r="G29">
        <v>300</v>
      </c>
    </row>
    <row r="30" spans="1:7" x14ac:dyDescent="0.25">
      <c r="A30" t="s">
        <v>35</v>
      </c>
      <c r="B30" t="s">
        <v>335</v>
      </c>
      <c r="C30">
        <v>16</v>
      </c>
      <c r="D30" t="s">
        <v>608</v>
      </c>
      <c r="E30" t="s">
        <v>613</v>
      </c>
      <c r="F30" t="s">
        <v>623</v>
      </c>
      <c r="G30">
        <v>600</v>
      </c>
    </row>
    <row r="31" spans="1:7" x14ac:dyDescent="0.25">
      <c r="A31" t="s">
        <v>36</v>
      </c>
      <c r="B31" t="s">
        <v>336</v>
      </c>
      <c r="C31">
        <v>9</v>
      </c>
      <c r="D31" t="s">
        <v>607</v>
      </c>
      <c r="E31" t="s">
        <v>613</v>
      </c>
      <c r="F31" t="s">
        <v>628</v>
      </c>
      <c r="G31">
        <v>300</v>
      </c>
    </row>
    <row r="32" spans="1:7" x14ac:dyDescent="0.25">
      <c r="A32" t="s">
        <v>37</v>
      </c>
      <c r="B32" t="s">
        <v>337</v>
      </c>
      <c r="C32">
        <v>38</v>
      </c>
      <c r="D32" t="s">
        <v>607</v>
      </c>
      <c r="E32" t="s">
        <v>609</v>
      </c>
      <c r="F32" t="s">
        <v>617</v>
      </c>
      <c r="G32">
        <v>10</v>
      </c>
    </row>
    <row r="33" spans="1:7" x14ac:dyDescent="0.25">
      <c r="A33" t="s">
        <v>38</v>
      </c>
      <c r="B33" t="s">
        <v>338</v>
      </c>
      <c r="C33">
        <v>70</v>
      </c>
      <c r="D33" t="s">
        <v>607</v>
      </c>
      <c r="E33" t="s">
        <v>615</v>
      </c>
      <c r="F33" t="s">
        <v>622</v>
      </c>
      <c r="G33">
        <v>500</v>
      </c>
    </row>
    <row r="34" spans="1:7" x14ac:dyDescent="0.25">
      <c r="A34" t="s">
        <v>39</v>
      </c>
      <c r="B34" t="s">
        <v>339</v>
      </c>
      <c r="C34">
        <v>37</v>
      </c>
      <c r="D34" t="s">
        <v>607</v>
      </c>
      <c r="E34" t="s">
        <v>609</v>
      </c>
      <c r="F34" t="s">
        <v>624</v>
      </c>
      <c r="G34">
        <v>500</v>
      </c>
    </row>
    <row r="35" spans="1:7" x14ac:dyDescent="0.25">
      <c r="A35" t="s">
        <v>40</v>
      </c>
      <c r="B35" t="s">
        <v>340</v>
      </c>
      <c r="C35">
        <v>76</v>
      </c>
      <c r="D35" t="s">
        <v>608</v>
      </c>
      <c r="E35" t="s">
        <v>611</v>
      </c>
      <c r="F35" t="s">
        <v>621</v>
      </c>
      <c r="G35">
        <v>50</v>
      </c>
    </row>
    <row r="36" spans="1:7" x14ac:dyDescent="0.25">
      <c r="A36" t="s">
        <v>41</v>
      </c>
      <c r="B36" t="s">
        <v>341</v>
      </c>
      <c r="C36">
        <v>23</v>
      </c>
      <c r="D36" t="s">
        <v>607</v>
      </c>
      <c r="E36" t="s">
        <v>609</v>
      </c>
      <c r="F36" t="s">
        <v>629</v>
      </c>
      <c r="G36">
        <v>2</v>
      </c>
    </row>
    <row r="37" spans="1:7" x14ac:dyDescent="0.25">
      <c r="A37" t="s">
        <v>42</v>
      </c>
      <c r="B37" t="s">
        <v>342</v>
      </c>
      <c r="C37">
        <v>67</v>
      </c>
      <c r="D37" t="s">
        <v>608</v>
      </c>
      <c r="E37" t="s">
        <v>612</v>
      </c>
      <c r="F37" t="s">
        <v>626</v>
      </c>
      <c r="G37">
        <v>200</v>
      </c>
    </row>
    <row r="38" spans="1:7" x14ac:dyDescent="0.25">
      <c r="A38" t="s">
        <v>43</v>
      </c>
      <c r="B38" t="s">
        <v>343</v>
      </c>
      <c r="C38">
        <v>29</v>
      </c>
      <c r="D38" t="s">
        <v>607</v>
      </c>
      <c r="E38" t="s">
        <v>609</v>
      </c>
      <c r="F38" t="s">
        <v>629</v>
      </c>
      <c r="G38">
        <v>2</v>
      </c>
    </row>
    <row r="39" spans="1:7" x14ac:dyDescent="0.25">
      <c r="A39" t="s">
        <v>44</v>
      </c>
      <c r="B39" t="s">
        <v>344</v>
      </c>
      <c r="C39">
        <v>45</v>
      </c>
      <c r="D39" t="s">
        <v>607</v>
      </c>
      <c r="E39" t="s">
        <v>613</v>
      </c>
      <c r="F39" t="s">
        <v>623</v>
      </c>
      <c r="G39">
        <v>600</v>
      </c>
    </row>
    <row r="40" spans="1:7" x14ac:dyDescent="0.25">
      <c r="A40" t="s">
        <v>45</v>
      </c>
      <c r="B40" t="s">
        <v>345</v>
      </c>
      <c r="C40">
        <v>25</v>
      </c>
      <c r="D40" t="s">
        <v>608</v>
      </c>
      <c r="E40" t="s">
        <v>615</v>
      </c>
      <c r="F40" t="s">
        <v>622</v>
      </c>
      <c r="G40">
        <v>500</v>
      </c>
    </row>
    <row r="41" spans="1:7" x14ac:dyDescent="0.25">
      <c r="A41" t="s">
        <v>46</v>
      </c>
      <c r="B41" t="s">
        <v>346</v>
      </c>
      <c r="C41">
        <v>35</v>
      </c>
      <c r="D41" t="s">
        <v>608</v>
      </c>
      <c r="E41" t="s">
        <v>613</v>
      </c>
      <c r="F41" t="s">
        <v>628</v>
      </c>
      <c r="G41">
        <v>300</v>
      </c>
    </row>
    <row r="42" spans="1:7" x14ac:dyDescent="0.25">
      <c r="A42" t="s">
        <v>47</v>
      </c>
      <c r="B42" t="s">
        <v>347</v>
      </c>
      <c r="C42">
        <v>62</v>
      </c>
      <c r="D42" t="s">
        <v>608</v>
      </c>
      <c r="E42" t="s">
        <v>612</v>
      </c>
      <c r="F42" t="s">
        <v>627</v>
      </c>
      <c r="G42">
        <v>5</v>
      </c>
    </row>
    <row r="43" spans="1:7" x14ac:dyDescent="0.25">
      <c r="A43" t="s">
        <v>48</v>
      </c>
      <c r="B43" t="s">
        <v>348</v>
      </c>
      <c r="C43">
        <v>39</v>
      </c>
      <c r="D43" t="s">
        <v>608</v>
      </c>
      <c r="E43" t="s">
        <v>612</v>
      </c>
      <c r="F43" t="s">
        <v>627</v>
      </c>
      <c r="G43">
        <v>5</v>
      </c>
    </row>
    <row r="44" spans="1:7" x14ac:dyDescent="0.25">
      <c r="A44" t="s">
        <v>49</v>
      </c>
      <c r="B44" t="s">
        <v>349</v>
      </c>
      <c r="C44">
        <v>26</v>
      </c>
      <c r="D44" t="s">
        <v>607</v>
      </c>
      <c r="E44" t="s">
        <v>611</v>
      </c>
      <c r="F44" t="s">
        <v>621</v>
      </c>
      <c r="G44">
        <v>50</v>
      </c>
    </row>
    <row r="45" spans="1:7" x14ac:dyDescent="0.25">
      <c r="A45" t="s">
        <v>50</v>
      </c>
      <c r="B45" t="s">
        <v>350</v>
      </c>
      <c r="C45">
        <v>73</v>
      </c>
      <c r="D45" t="s">
        <v>608</v>
      </c>
      <c r="E45" t="s">
        <v>613</v>
      </c>
      <c r="F45" t="s">
        <v>623</v>
      </c>
      <c r="G45">
        <v>600</v>
      </c>
    </row>
    <row r="46" spans="1:7" x14ac:dyDescent="0.25">
      <c r="A46" t="s">
        <v>51</v>
      </c>
      <c r="B46" t="s">
        <v>351</v>
      </c>
      <c r="C46">
        <v>61</v>
      </c>
      <c r="D46" t="s">
        <v>607</v>
      </c>
      <c r="E46" t="s">
        <v>614</v>
      </c>
      <c r="F46" t="s">
        <v>619</v>
      </c>
      <c r="G46">
        <v>500</v>
      </c>
    </row>
    <row r="47" spans="1:7" x14ac:dyDescent="0.25">
      <c r="A47" t="s">
        <v>52</v>
      </c>
      <c r="B47" t="s">
        <v>352</v>
      </c>
      <c r="C47">
        <v>23</v>
      </c>
      <c r="D47" t="s">
        <v>607</v>
      </c>
      <c r="E47" t="s">
        <v>616</v>
      </c>
      <c r="F47" t="s">
        <v>630</v>
      </c>
      <c r="G47">
        <v>10</v>
      </c>
    </row>
    <row r="48" spans="1:7" x14ac:dyDescent="0.25">
      <c r="A48" t="s">
        <v>53</v>
      </c>
      <c r="B48" t="s">
        <v>353</v>
      </c>
      <c r="C48">
        <v>75</v>
      </c>
      <c r="D48" t="s">
        <v>607</v>
      </c>
      <c r="E48" t="s">
        <v>612</v>
      </c>
      <c r="F48" t="s">
        <v>632</v>
      </c>
      <c r="G48">
        <v>200</v>
      </c>
    </row>
    <row r="49" spans="1:7" x14ac:dyDescent="0.25">
      <c r="A49" t="s">
        <v>54</v>
      </c>
      <c r="B49" t="s">
        <v>354</v>
      </c>
      <c r="C49">
        <v>45</v>
      </c>
      <c r="D49" t="s">
        <v>608</v>
      </c>
      <c r="E49" t="s">
        <v>613</v>
      </c>
      <c r="F49" t="s">
        <v>628</v>
      </c>
      <c r="G49">
        <v>300</v>
      </c>
    </row>
    <row r="50" spans="1:7" x14ac:dyDescent="0.25">
      <c r="A50" t="s">
        <v>55</v>
      </c>
      <c r="B50" t="s">
        <v>355</v>
      </c>
      <c r="C50">
        <v>34</v>
      </c>
      <c r="D50" t="s">
        <v>607</v>
      </c>
      <c r="E50" t="s">
        <v>613</v>
      </c>
      <c r="F50" t="s">
        <v>623</v>
      </c>
      <c r="G50">
        <v>600</v>
      </c>
    </row>
    <row r="51" spans="1:7" x14ac:dyDescent="0.25">
      <c r="A51" t="s">
        <v>56</v>
      </c>
      <c r="B51" t="s">
        <v>356</v>
      </c>
      <c r="C51">
        <v>47</v>
      </c>
      <c r="D51" t="s">
        <v>607</v>
      </c>
      <c r="E51" t="s">
        <v>614</v>
      </c>
      <c r="F51" t="s">
        <v>619</v>
      </c>
      <c r="G51">
        <v>500</v>
      </c>
    </row>
    <row r="52" spans="1:7" x14ac:dyDescent="0.25">
      <c r="A52" t="s">
        <v>57</v>
      </c>
      <c r="B52" t="s">
        <v>357</v>
      </c>
      <c r="C52">
        <v>61</v>
      </c>
      <c r="D52" t="s">
        <v>608</v>
      </c>
      <c r="E52" t="s">
        <v>632</v>
      </c>
      <c r="F52" t="s">
        <v>619</v>
      </c>
      <c r="G52">
        <v>650</v>
      </c>
    </row>
    <row r="53" spans="1:7" x14ac:dyDescent="0.25">
      <c r="A53" t="s">
        <v>58</v>
      </c>
      <c r="B53" t="s">
        <v>358</v>
      </c>
      <c r="C53">
        <v>57</v>
      </c>
      <c r="D53" t="s">
        <v>607</v>
      </c>
      <c r="E53" t="s">
        <v>615</v>
      </c>
      <c r="F53" t="s">
        <v>618</v>
      </c>
      <c r="G53">
        <v>1000</v>
      </c>
    </row>
    <row r="54" spans="1:7" x14ac:dyDescent="0.25">
      <c r="A54" t="s">
        <v>59</v>
      </c>
      <c r="B54" t="s">
        <v>359</v>
      </c>
      <c r="C54">
        <v>48</v>
      </c>
      <c r="D54" t="s">
        <v>608</v>
      </c>
      <c r="E54" t="s">
        <v>614</v>
      </c>
      <c r="F54" t="s">
        <v>619</v>
      </c>
      <c r="G54">
        <v>500</v>
      </c>
    </row>
    <row r="55" spans="1:7" x14ac:dyDescent="0.25">
      <c r="A55" t="s">
        <v>60</v>
      </c>
      <c r="B55" t="s">
        <v>360</v>
      </c>
      <c r="C55">
        <v>33</v>
      </c>
      <c r="D55" t="s">
        <v>607</v>
      </c>
      <c r="E55" t="s">
        <v>616</v>
      </c>
      <c r="F55" t="s">
        <v>631</v>
      </c>
      <c r="G55">
        <v>100</v>
      </c>
    </row>
    <row r="56" spans="1:7" x14ac:dyDescent="0.25">
      <c r="A56" t="s">
        <v>61</v>
      </c>
      <c r="B56" t="s">
        <v>361</v>
      </c>
      <c r="C56">
        <v>43</v>
      </c>
      <c r="D56" t="s">
        <v>608</v>
      </c>
      <c r="E56" t="s">
        <v>612</v>
      </c>
      <c r="F56" t="s">
        <v>627</v>
      </c>
      <c r="G56">
        <v>5</v>
      </c>
    </row>
    <row r="57" spans="1:7" x14ac:dyDescent="0.25">
      <c r="A57" t="s">
        <v>62</v>
      </c>
      <c r="B57" t="s">
        <v>362</v>
      </c>
      <c r="C57">
        <v>53</v>
      </c>
      <c r="D57" t="s">
        <v>607</v>
      </c>
      <c r="E57" t="s">
        <v>632</v>
      </c>
      <c r="F57" t="s">
        <v>621</v>
      </c>
      <c r="G57">
        <v>50</v>
      </c>
    </row>
    <row r="58" spans="1:7" x14ac:dyDescent="0.25">
      <c r="A58" t="s">
        <v>63</v>
      </c>
      <c r="B58" t="s">
        <v>363</v>
      </c>
      <c r="C58">
        <v>37</v>
      </c>
      <c r="D58" t="s">
        <v>632</v>
      </c>
      <c r="E58" t="s">
        <v>613</v>
      </c>
      <c r="F58" t="s">
        <v>628</v>
      </c>
      <c r="G58">
        <v>300</v>
      </c>
    </row>
    <row r="59" spans="1:7" x14ac:dyDescent="0.25">
      <c r="A59" t="s">
        <v>64</v>
      </c>
      <c r="B59" t="s">
        <v>364</v>
      </c>
      <c r="C59">
        <v>82</v>
      </c>
      <c r="D59" t="s">
        <v>608</v>
      </c>
      <c r="E59" t="s">
        <v>616</v>
      </c>
      <c r="F59" t="s">
        <v>630</v>
      </c>
      <c r="G59">
        <v>10</v>
      </c>
    </row>
    <row r="60" spans="1:7" x14ac:dyDescent="0.25">
      <c r="A60" t="s">
        <v>65</v>
      </c>
      <c r="B60" t="s">
        <v>365</v>
      </c>
      <c r="C60">
        <v>62</v>
      </c>
      <c r="D60" t="s">
        <v>607</v>
      </c>
      <c r="E60" t="s">
        <v>614</v>
      </c>
      <c r="F60" t="s">
        <v>619</v>
      </c>
      <c r="G60">
        <v>500</v>
      </c>
    </row>
    <row r="61" spans="1:7" x14ac:dyDescent="0.25">
      <c r="A61" t="s">
        <v>66</v>
      </c>
      <c r="B61" t="s">
        <v>366</v>
      </c>
      <c r="C61">
        <v>59</v>
      </c>
      <c r="D61" t="s">
        <v>632</v>
      </c>
      <c r="E61" t="s">
        <v>615</v>
      </c>
      <c r="F61" t="s">
        <v>618</v>
      </c>
      <c r="G61">
        <v>1000</v>
      </c>
    </row>
    <row r="62" spans="1:7" x14ac:dyDescent="0.25">
      <c r="A62" t="s">
        <v>67</v>
      </c>
      <c r="B62" t="s">
        <v>367</v>
      </c>
      <c r="C62">
        <v>6</v>
      </c>
      <c r="D62" t="s">
        <v>608</v>
      </c>
      <c r="E62" t="s">
        <v>613</v>
      </c>
      <c r="F62" t="s">
        <v>623</v>
      </c>
      <c r="G62">
        <v>600</v>
      </c>
    </row>
    <row r="63" spans="1:7" x14ac:dyDescent="0.25">
      <c r="A63" t="s">
        <v>68</v>
      </c>
      <c r="B63" t="s">
        <v>368</v>
      </c>
      <c r="C63">
        <v>35</v>
      </c>
      <c r="D63" t="s">
        <v>608</v>
      </c>
      <c r="E63" t="s">
        <v>609</v>
      </c>
      <c r="F63" t="s">
        <v>624</v>
      </c>
      <c r="G63">
        <v>500</v>
      </c>
    </row>
    <row r="64" spans="1:7" x14ac:dyDescent="0.25">
      <c r="A64" t="s">
        <v>69</v>
      </c>
      <c r="B64" t="s">
        <v>369</v>
      </c>
      <c r="C64">
        <v>48</v>
      </c>
      <c r="D64" t="s">
        <v>608</v>
      </c>
      <c r="E64" t="s">
        <v>610</v>
      </c>
      <c r="F64" t="s">
        <v>619</v>
      </c>
      <c r="G64">
        <v>650</v>
      </c>
    </row>
    <row r="65" spans="1:7" x14ac:dyDescent="0.25">
      <c r="A65" t="s">
        <v>70</v>
      </c>
      <c r="B65" t="s">
        <v>370</v>
      </c>
      <c r="C65">
        <v>76</v>
      </c>
      <c r="D65" t="s">
        <v>608</v>
      </c>
      <c r="E65" t="s">
        <v>616</v>
      </c>
      <c r="F65" t="s">
        <v>630</v>
      </c>
      <c r="G65">
        <v>10</v>
      </c>
    </row>
    <row r="66" spans="1:7" x14ac:dyDescent="0.25">
      <c r="A66" t="s">
        <v>71</v>
      </c>
      <c r="B66" t="s">
        <v>371</v>
      </c>
      <c r="C66">
        <v>46</v>
      </c>
      <c r="D66" t="s">
        <v>607</v>
      </c>
      <c r="E66" t="s">
        <v>611</v>
      </c>
      <c r="F66" t="s">
        <v>621</v>
      </c>
      <c r="G66">
        <v>50</v>
      </c>
    </row>
    <row r="67" spans="1:7" x14ac:dyDescent="0.25">
      <c r="A67" t="s">
        <v>72</v>
      </c>
      <c r="B67" t="s">
        <v>372</v>
      </c>
      <c r="C67">
        <v>38</v>
      </c>
      <c r="D67" t="s">
        <v>608</v>
      </c>
      <c r="E67" t="s">
        <v>612</v>
      </c>
      <c r="F67" t="s">
        <v>627</v>
      </c>
      <c r="G67">
        <v>5</v>
      </c>
    </row>
    <row r="68" spans="1:7" x14ac:dyDescent="0.25">
      <c r="A68" t="s">
        <v>73</v>
      </c>
      <c r="B68" t="s">
        <v>373</v>
      </c>
      <c r="C68">
        <v>56</v>
      </c>
      <c r="D68" t="s">
        <v>607</v>
      </c>
      <c r="E68" t="s">
        <v>612</v>
      </c>
      <c r="F68" t="s">
        <v>626</v>
      </c>
      <c r="G68">
        <v>200</v>
      </c>
    </row>
    <row r="69" spans="1:7" x14ac:dyDescent="0.25">
      <c r="A69" t="s">
        <v>74</v>
      </c>
      <c r="B69" t="s">
        <v>374</v>
      </c>
      <c r="C69">
        <v>19</v>
      </c>
      <c r="D69" t="s">
        <v>608</v>
      </c>
      <c r="E69" t="s">
        <v>615</v>
      </c>
      <c r="F69" t="s">
        <v>618</v>
      </c>
      <c r="G69">
        <v>1000</v>
      </c>
    </row>
    <row r="70" spans="1:7" x14ac:dyDescent="0.25">
      <c r="A70" t="s">
        <v>75</v>
      </c>
      <c r="B70" t="s">
        <v>375</v>
      </c>
      <c r="C70">
        <v>5</v>
      </c>
      <c r="D70" t="s">
        <v>607</v>
      </c>
      <c r="E70" t="s">
        <v>615</v>
      </c>
      <c r="F70" t="s">
        <v>618</v>
      </c>
      <c r="G70">
        <v>1000</v>
      </c>
    </row>
    <row r="71" spans="1:7" x14ac:dyDescent="0.25">
      <c r="A71" t="s">
        <v>76</v>
      </c>
      <c r="B71" t="s">
        <v>376</v>
      </c>
      <c r="C71">
        <v>6</v>
      </c>
      <c r="D71" t="s">
        <v>607</v>
      </c>
      <c r="E71" t="s">
        <v>611</v>
      </c>
      <c r="F71" t="s">
        <v>620</v>
      </c>
      <c r="G71">
        <v>50</v>
      </c>
    </row>
    <row r="72" spans="1:7" x14ac:dyDescent="0.25">
      <c r="A72" t="s">
        <v>77</v>
      </c>
      <c r="B72" t="s">
        <v>377</v>
      </c>
      <c r="C72">
        <v>21</v>
      </c>
      <c r="D72" t="s">
        <v>608</v>
      </c>
      <c r="E72" t="s">
        <v>616</v>
      </c>
      <c r="F72" t="s">
        <v>631</v>
      </c>
      <c r="G72">
        <v>100</v>
      </c>
    </row>
    <row r="73" spans="1:7" x14ac:dyDescent="0.25">
      <c r="A73" t="s">
        <v>78</v>
      </c>
      <c r="B73" t="s">
        <v>378</v>
      </c>
      <c r="C73">
        <v>43</v>
      </c>
      <c r="D73" t="s">
        <v>608</v>
      </c>
      <c r="E73" t="s">
        <v>610</v>
      </c>
      <c r="F73" t="s">
        <v>619</v>
      </c>
      <c r="G73">
        <v>650</v>
      </c>
    </row>
    <row r="74" spans="1:7" x14ac:dyDescent="0.25">
      <c r="A74" t="s">
        <v>79</v>
      </c>
      <c r="B74" t="s">
        <v>379</v>
      </c>
      <c r="C74">
        <v>26</v>
      </c>
      <c r="D74" t="s">
        <v>607</v>
      </c>
      <c r="E74" t="s">
        <v>616</v>
      </c>
      <c r="F74" t="s">
        <v>630</v>
      </c>
      <c r="G74">
        <v>10</v>
      </c>
    </row>
    <row r="75" spans="1:7" x14ac:dyDescent="0.25">
      <c r="A75" t="s">
        <v>80</v>
      </c>
      <c r="B75" t="s">
        <v>380</v>
      </c>
      <c r="C75">
        <v>25</v>
      </c>
      <c r="D75" t="s">
        <v>608</v>
      </c>
      <c r="E75" t="s">
        <v>614</v>
      </c>
      <c r="F75" t="s">
        <v>619</v>
      </c>
      <c r="G75">
        <v>300</v>
      </c>
    </row>
    <row r="76" spans="1:7" x14ac:dyDescent="0.25">
      <c r="A76" t="s">
        <v>81</v>
      </c>
      <c r="B76" t="s">
        <v>381</v>
      </c>
      <c r="C76">
        <v>76</v>
      </c>
      <c r="D76" t="s">
        <v>608</v>
      </c>
      <c r="E76" t="s">
        <v>611</v>
      </c>
      <c r="F76" t="s">
        <v>620</v>
      </c>
      <c r="G76">
        <v>50</v>
      </c>
    </row>
    <row r="77" spans="1:7" x14ac:dyDescent="0.25">
      <c r="A77" t="s">
        <v>82</v>
      </c>
      <c r="B77" t="s">
        <v>382</v>
      </c>
      <c r="C77">
        <v>30</v>
      </c>
      <c r="D77" t="s">
        <v>607</v>
      </c>
      <c r="E77" t="s">
        <v>613</v>
      </c>
      <c r="F77" t="s">
        <v>628</v>
      </c>
      <c r="G77">
        <v>300</v>
      </c>
    </row>
    <row r="78" spans="1:7" x14ac:dyDescent="0.25">
      <c r="A78" t="s">
        <v>83</v>
      </c>
      <c r="B78" t="s">
        <v>383</v>
      </c>
      <c r="C78">
        <v>56</v>
      </c>
      <c r="D78" t="s">
        <v>608</v>
      </c>
      <c r="E78" t="s">
        <v>612</v>
      </c>
      <c r="F78" t="s">
        <v>632</v>
      </c>
      <c r="G78">
        <v>200</v>
      </c>
    </row>
    <row r="79" spans="1:7" x14ac:dyDescent="0.25">
      <c r="A79" t="s">
        <v>84</v>
      </c>
      <c r="B79" t="s">
        <v>384</v>
      </c>
      <c r="C79">
        <v>62</v>
      </c>
      <c r="D79" t="s">
        <v>607</v>
      </c>
      <c r="E79" t="s">
        <v>609</v>
      </c>
      <c r="F79" t="s">
        <v>629</v>
      </c>
      <c r="G79">
        <v>2</v>
      </c>
    </row>
    <row r="80" spans="1:7" x14ac:dyDescent="0.25">
      <c r="A80" t="s">
        <v>85</v>
      </c>
      <c r="B80" t="s">
        <v>385</v>
      </c>
      <c r="C80">
        <v>43</v>
      </c>
      <c r="D80" t="s">
        <v>608</v>
      </c>
      <c r="E80" t="s">
        <v>610</v>
      </c>
      <c r="F80" t="s">
        <v>619</v>
      </c>
      <c r="G80">
        <v>650</v>
      </c>
    </row>
    <row r="81" spans="1:7" x14ac:dyDescent="0.25">
      <c r="A81" t="s">
        <v>86</v>
      </c>
      <c r="B81" t="s">
        <v>386</v>
      </c>
      <c r="C81">
        <v>68</v>
      </c>
      <c r="D81" t="s">
        <v>608</v>
      </c>
      <c r="E81" t="s">
        <v>614</v>
      </c>
      <c r="F81" t="s">
        <v>619</v>
      </c>
      <c r="G81">
        <v>500</v>
      </c>
    </row>
    <row r="82" spans="1:7" x14ac:dyDescent="0.25">
      <c r="A82" t="s">
        <v>87</v>
      </c>
      <c r="B82" t="s">
        <v>387</v>
      </c>
      <c r="C82">
        <v>50</v>
      </c>
      <c r="D82" t="s">
        <v>608</v>
      </c>
      <c r="E82" t="s">
        <v>614</v>
      </c>
      <c r="F82" t="s">
        <v>619</v>
      </c>
      <c r="G82">
        <v>500</v>
      </c>
    </row>
    <row r="83" spans="1:7" x14ac:dyDescent="0.25">
      <c r="A83" t="s">
        <v>88</v>
      </c>
      <c r="B83" t="s">
        <v>388</v>
      </c>
      <c r="C83">
        <v>75</v>
      </c>
      <c r="D83" t="s">
        <v>607</v>
      </c>
      <c r="E83" t="s">
        <v>609</v>
      </c>
      <c r="F83" t="s">
        <v>617</v>
      </c>
      <c r="G83">
        <v>10</v>
      </c>
    </row>
    <row r="84" spans="1:7" x14ac:dyDescent="0.25">
      <c r="A84" t="s">
        <v>89</v>
      </c>
      <c r="B84" t="s">
        <v>389</v>
      </c>
      <c r="C84">
        <v>33</v>
      </c>
      <c r="D84" t="s">
        <v>632</v>
      </c>
      <c r="E84" t="s">
        <v>632</v>
      </c>
      <c r="F84" t="s">
        <v>623</v>
      </c>
      <c r="G84">
        <v>600</v>
      </c>
    </row>
    <row r="85" spans="1:7" x14ac:dyDescent="0.25">
      <c r="A85" t="s">
        <v>90</v>
      </c>
      <c r="B85" t="s">
        <v>390</v>
      </c>
      <c r="C85">
        <v>8</v>
      </c>
      <c r="D85" t="s">
        <v>607</v>
      </c>
      <c r="E85" t="s">
        <v>612</v>
      </c>
      <c r="F85" t="s">
        <v>627</v>
      </c>
      <c r="G85">
        <v>5</v>
      </c>
    </row>
    <row r="86" spans="1:7" x14ac:dyDescent="0.25">
      <c r="A86" t="s">
        <v>91</v>
      </c>
      <c r="B86" t="s">
        <v>391</v>
      </c>
      <c r="C86">
        <v>43</v>
      </c>
      <c r="D86" t="s">
        <v>607</v>
      </c>
      <c r="E86" t="s">
        <v>609</v>
      </c>
      <c r="F86" t="s">
        <v>624</v>
      </c>
      <c r="G86">
        <v>500</v>
      </c>
    </row>
    <row r="87" spans="1:7" x14ac:dyDescent="0.25">
      <c r="A87" t="s">
        <v>92</v>
      </c>
      <c r="B87" t="s">
        <v>392</v>
      </c>
      <c r="C87">
        <v>67</v>
      </c>
      <c r="D87" t="s">
        <v>607</v>
      </c>
      <c r="E87" t="s">
        <v>616</v>
      </c>
      <c r="F87" t="s">
        <v>630</v>
      </c>
      <c r="G87">
        <v>300</v>
      </c>
    </row>
    <row r="88" spans="1:7" x14ac:dyDescent="0.25">
      <c r="A88" t="s">
        <v>93</v>
      </c>
      <c r="B88" t="s">
        <v>393</v>
      </c>
      <c r="C88">
        <v>48</v>
      </c>
      <c r="D88" t="s">
        <v>607</v>
      </c>
      <c r="E88" t="s">
        <v>613</v>
      </c>
      <c r="F88" t="s">
        <v>623</v>
      </c>
      <c r="G88">
        <v>600</v>
      </c>
    </row>
    <row r="89" spans="1:7" x14ac:dyDescent="0.25">
      <c r="A89" t="s">
        <v>94</v>
      </c>
      <c r="B89" t="s">
        <v>394</v>
      </c>
      <c r="C89">
        <v>72</v>
      </c>
      <c r="D89" t="s">
        <v>608</v>
      </c>
      <c r="E89" t="s">
        <v>616</v>
      </c>
      <c r="F89" t="s">
        <v>630</v>
      </c>
      <c r="G89">
        <v>10</v>
      </c>
    </row>
    <row r="90" spans="1:7" x14ac:dyDescent="0.25">
      <c r="A90" t="s">
        <v>95</v>
      </c>
      <c r="B90" t="s">
        <v>395</v>
      </c>
      <c r="C90">
        <v>10</v>
      </c>
      <c r="D90" t="s">
        <v>607</v>
      </c>
      <c r="E90" t="s">
        <v>616</v>
      </c>
      <c r="F90" t="s">
        <v>631</v>
      </c>
      <c r="G90">
        <v>100</v>
      </c>
    </row>
    <row r="91" spans="1:7" x14ac:dyDescent="0.25">
      <c r="A91" t="s">
        <v>96</v>
      </c>
      <c r="B91" t="s">
        <v>396</v>
      </c>
      <c r="C91">
        <v>37</v>
      </c>
      <c r="D91" t="s">
        <v>607</v>
      </c>
      <c r="E91" t="s">
        <v>609</v>
      </c>
      <c r="F91" t="s">
        <v>617</v>
      </c>
      <c r="G91">
        <v>10</v>
      </c>
    </row>
    <row r="92" spans="1:7" x14ac:dyDescent="0.25">
      <c r="A92" t="s">
        <v>97</v>
      </c>
      <c r="B92" t="s">
        <v>397</v>
      </c>
      <c r="C92">
        <v>15</v>
      </c>
      <c r="D92" t="s">
        <v>607</v>
      </c>
      <c r="E92" t="s">
        <v>615</v>
      </c>
      <c r="F92" t="s">
        <v>622</v>
      </c>
      <c r="G92">
        <v>500</v>
      </c>
    </row>
    <row r="93" spans="1:7" x14ac:dyDescent="0.25">
      <c r="A93" t="s">
        <v>98</v>
      </c>
      <c r="B93" t="s">
        <v>398</v>
      </c>
      <c r="C93">
        <v>73</v>
      </c>
      <c r="D93" t="s">
        <v>607</v>
      </c>
      <c r="E93" t="s">
        <v>611</v>
      </c>
      <c r="F93" t="s">
        <v>621</v>
      </c>
      <c r="G93">
        <v>50</v>
      </c>
    </row>
    <row r="94" spans="1:7" x14ac:dyDescent="0.25">
      <c r="A94" t="s">
        <v>99</v>
      </c>
      <c r="B94" t="s">
        <v>399</v>
      </c>
      <c r="C94">
        <v>47</v>
      </c>
      <c r="D94" t="s">
        <v>607</v>
      </c>
      <c r="E94" t="s">
        <v>616</v>
      </c>
      <c r="F94" t="s">
        <v>630</v>
      </c>
      <c r="G94">
        <v>10</v>
      </c>
    </row>
    <row r="95" spans="1:7" x14ac:dyDescent="0.25">
      <c r="A95" t="s">
        <v>100</v>
      </c>
      <c r="B95" t="s">
        <v>400</v>
      </c>
      <c r="C95">
        <v>74</v>
      </c>
      <c r="D95" t="s">
        <v>608</v>
      </c>
      <c r="E95" t="s">
        <v>632</v>
      </c>
      <c r="F95" t="s">
        <v>618</v>
      </c>
      <c r="G95">
        <v>1000</v>
      </c>
    </row>
    <row r="96" spans="1:7" x14ac:dyDescent="0.25">
      <c r="A96" t="s">
        <v>101</v>
      </c>
      <c r="B96" t="s">
        <v>401</v>
      </c>
      <c r="C96">
        <v>32</v>
      </c>
      <c r="D96" t="s">
        <v>607</v>
      </c>
      <c r="E96" t="s">
        <v>615</v>
      </c>
      <c r="F96" t="s">
        <v>618</v>
      </c>
      <c r="G96">
        <v>1000</v>
      </c>
    </row>
    <row r="97" spans="1:7" x14ac:dyDescent="0.25">
      <c r="A97" t="s">
        <v>102</v>
      </c>
      <c r="B97" t="s">
        <v>402</v>
      </c>
      <c r="C97">
        <v>33</v>
      </c>
      <c r="D97" t="s">
        <v>632</v>
      </c>
      <c r="E97" t="s">
        <v>610</v>
      </c>
      <c r="F97" t="s">
        <v>619</v>
      </c>
      <c r="G97">
        <v>650</v>
      </c>
    </row>
    <row r="98" spans="1:7" x14ac:dyDescent="0.25">
      <c r="A98" t="s">
        <v>103</v>
      </c>
      <c r="B98" t="s">
        <v>403</v>
      </c>
      <c r="C98">
        <v>37</v>
      </c>
      <c r="D98" t="s">
        <v>607</v>
      </c>
      <c r="E98" t="s">
        <v>615</v>
      </c>
      <c r="F98" t="s">
        <v>622</v>
      </c>
      <c r="G98">
        <v>500</v>
      </c>
    </row>
    <row r="99" spans="1:7" x14ac:dyDescent="0.25">
      <c r="A99" t="s">
        <v>104</v>
      </c>
      <c r="B99" t="s">
        <v>404</v>
      </c>
      <c r="C99">
        <v>43</v>
      </c>
      <c r="D99" t="s">
        <v>608</v>
      </c>
      <c r="E99" t="s">
        <v>613</v>
      </c>
      <c r="F99" t="s">
        <v>628</v>
      </c>
      <c r="G99">
        <v>300</v>
      </c>
    </row>
    <row r="100" spans="1:7" x14ac:dyDescent="0.25">
      <c r="A100" t="s">
        <v>105</v>
      </c>
      <c r="B100" t="s">
        <v>405</v>
      </c>
      <c r="C100">
        <v>83</v>
      </c>
      <c r="D100" t="s">
        <v>608</v>
      </c>
      <c r="E100" t="s">
        <v>632</v>
      </c>
      <c r="F100" t="s">
        <v>619</v>
      </c>
      <c r="G100">
        <v>650</v>
      </c>
    </row>
    <row r="101" spans="1:7" x14ac:dyDescent="0.25">
      <c r="A101" t="s">
        <v>106</v>
      </c>
      <c r="B101" t="s">
        <v>406</v>
      </c>
      <c r="C101">
        <v>79</v>
      </c>
      <c r="D101" t="s">
        <v>607</v>
      </c>
      <c r="E101" t="s">
        <v>616</v>
      </c>
      <c r="F101" t="s">
        <v>630</v>
      </c>
      <c r="G101">
        <v>10</v>
      </c>
    </row>
    <row r="102" spans="1:7" x14ac:dyDescent="0.25">
      <c r="A102" t="s">
        <v>107</v>
      </c>
      <c r="B102" t="s">
        <v>407</v>
      </c>
      <c r="C102">
        <v>81</v>
      </c>
      <c r="D102" t="s">
        <v>608</v>
      </c>
      <c r="E102" t="s">
        <v>611</v>
      </c>
      <c r="F102" t="s">
        <v>620</v>
      </c>
      <c r="G102">
        <v>50</v>
      </c>
    </row>
    <row r="103" spans="1:7" x14ac:dyDescent="0.25">
      <c r="A103" t="s">
        <v>108</v>
      </c>
      <c r="B103" t="s">
        <v>408</v>
      </c>
      <c r="C103">
        <v>53</v>
      </c>
      <c r="D103" t="s">
        <v>607</v>
      </c>
      <c r="E103" t="s">
        <v>616</v>
      </c>
      <c r="F103" t="s">
        <v>631</v>
      </c>
      <c r="G103">
        <v>100</v>
      </c>
    </row>
    <row r="104" spans="1:7" x14ac:dyDescent="0.25">
      <c r="A104" t="s">
        <v>109</v>
      </c>
      <c r="B104" t="s">
        <v>409</v>
      </c>
      <c r="C104">
        <v>28</v>
      </c>
      <c r="D104" t="s">
        <v>607</v>
      </c>
      <c r="E104" t="s">
        <v>632</v>
      </c>
      <c r="F104" t="s">
        <v>619</v>
      </c>
      <c r="G104">
        <v>650</v>
      </c>
    </row>
    <row r="105" spans="1:7" x14ac:dyDescent="0.25">
      <c r="A105" t="s">
        <v>110</v>
      </c>
      <c r="B105" t="s">
        <v>410</v>
      </c>
      <c r="C105">
        <v>19</v>
      </c>
      <c r="D105" t="s">
        <v>607</v>
      </c>
      <c r="E105" t="s">
        <v>612</v>
      </c>
      <c r="F105" t="s">
        <v>626</v>
      </c>
      <c r="G105">
        <v>200</v>
      </c>
    </row>
    <row r="106" spans="1:7" x14ac:dyDescent="0.25">
      <c r="A106" t="s">
        <v>111</v>
      </c>
      <c r="B106" t="s">
        <v>411</v>
      </c>
      <c r="C106">
        <v>73</v>
      </c>
      <c r="D106" t="s">
        <v>607</v>
      </c>
      <c r="E106" t="s">
        <v>615</v>
      </c>
      <c r="F106" t="s">
        <v>618</v>
      </c>
      <c r="G106">
        <v>1000</v>
      </c>
    </row>
    <row r="107" spans="1:7" x14ac:dyDescent="0.25">
      <c r="A107" t="s">
        <v>112</v>
      </c>
      <c r="B107" t="s">
        <v>412</v>
      </c>
      <c r="C107">
        <v>43</v>
      </c>
      <c r="D107" t="s">
        <v>608</v>
      </c>
      <c r="E107" t="s">
        <v>616</v>
      </c>
      <c r="F107" t="s">
        <v>630</v>
      </c>
      <c r="G107">
        <v>10</v>
      </c>
    </row>
    <row r="108" spans="1:7" x14ac:dyDescent="0.25">
      <c r="A108" t="s">
        <v>113</v>
      </c>
      <c r="B108" t="s">
        <v>413</v>
      </c>
      <c r="C108">
        <v>22</v>
      </c>
      <c r="D108" t="s">
        <v>608</v>
      </c>
      <c r="E108" t="s">
        <v>615</v>
      </c>
      <c r="F108" t="s">
        <v>618</v>
      </c>
      <c r="G108">
        <v>1000</v>
      </c>
    </row>
    <row r="109" spans="1:7" x14ac:dyDescent="0.25">
      <c r="A109" t="s">
        <v>114</v>
      </c>
      <c r="B109" t="s">
        <v>414</v>
      </c>
      <c r="C109">
        <v>65</v>
      </c>
      <c r="D109" t="s">
        <v>607</v>
      </c>
      <c r="E109" t="s">
        <v>613</v>
      </c>
      <c r="F109" t="s">
        <v>628</v>
      </c>
      <c r="G109">
        <v>300</v>
      </c>
    </row>
    <row r="110" spans="1:7" x14ac:dyDescent="0.25">
      <c r="A110" t="s">
        <v>115</v>
      </c>
      <c r="B110" t="s">
        <v>415</v>
      </c>
      <c r="C110">
        <v>24</v>
      </c>
      <c r="D110" t="s">
        <v>608</v>
      </c>
      <c r="E110" t="s">
        <v>611</v>
      </c>
      <c r="F110" t="s">
        <v>621</v>
      </c>
      <c r="G110">
        <v>50</v>
      </c>
    </row>
    <row r="111" spans="1:7" x14ac:dyDescent="0.25">
      <c r="A111" t="s">
        <v>116</v>
      </c>
      <c r="B111" t="s">
        <v>416</v>
      </c>
      <c r="C111">
        <v>12</v>
      </c>
      <c r="D111" t="s">
        <v>607</v>
      </c>
      <c r="E111" t="s">
        <v>612</v>
      </c>
      <c r="F111" t="s">
        <v>627</v>
      </c>
      <c r="G111">
        <v>5</v>
      </c>
    </row>
    <row r="112" spans="1:7" x14ac:dyDescent="0.25">
      <c r="A112" t="s">
        <v>117</v>
      </c>
      <c r="B112" t="s">
        <v>417</v>
      </c>
      <c r="C112">
        <v>56</v>
      </c>
      <c r="D112" t="s">
        <v>607</v>
      </c>
      <c r="E112" t="s">
        <v>632</v>
      </c>
      <c r="F112" t="s">
        <v>626</v>
      </c>
      <c r="G112">
        <v>200</v>
      </c>
    </row>
    <row r="113" spans="1:7" x14ac:dyDescent="0.25">
      <c r="A113" t="s">
        <v>118</v>
      </c>
      <c r="B113" t="s">
        <v>418</v>
      </c>
      <c r="C113">
        <v>81</v>
      </c>
      <c r="D113" t="s">
        <v>607</v>
      </c>
      <c r="E113" t="s">
        <v>632</v>
      </c>
      <c r="F113" t="s">
        <v>620</v>
      </c>
      <c r="G113">
        <v>50</v>
      </c>
    </row>
    <row r="114" spans="1:7" x14ac:dyDescent="0.25">
      <c r="A114" t="s">
        <v>119</v>
      </c>
      <c r="B114" t="s">
        <v>419</v>
      </c>
      <c r="C114">
        <v>42</v>
      </c>
      <c r="D114" t="s">
        <v>608</v>
      </c>
      <c r="E114" t="s">
        <v>609</v>
      </c>
      <c r="F114" t="s">
        <v>629</v>
      </c>
      <c r="G114">
        <v>2</v>
      </c>
    </row>
    <row r="115" spans="1:7" x14ac:dyDescent="0.25">
      <c r="A115" t="s">
        <v>120</v>
      </c>
      <c r="B115" t="s">
        <v>420</v>
      </c>
      <c r="C115">
        <v>61</v>
      </c>
      <c r="D115" t="s">
        <v>607</v>
      </c>
      <c r="E115" t="s">
        <v>613</v>
      </c>
      <c r="F115" t="s">
        <v>628</v>
      </c>
      <c r="G115">
        <v>300</v>
      </c>
    </row>
    <row r="116" spans="1:7" x14ac:dyDescent="0.25">
      <c r="A116" t="s">
        <v>121</v>
      </c>
      <c r="B116" t="s">
        <v>421</v>
      </c>
      <c r="C116">
        <v>49</v>
      </c>
      <c r="D116" t="s">
        <v>607</v>
      </c>
      <c r="E116" t="s">
        <v>611</v>
      </c>
      <c r="F116" t="s">
        <v>620</v>
      </c>
      <c r="G116">
        <v>50</v>
      </c>
    </row>
    <row r="117" spans="1:7" x14ac:dyDescent="0.25">
      <c r="A117" t="s">
        <v>122</v>
      </c>
      <c r="B117" t="s">
        <v>422</v>
      </c>
      <c r="C117">
        <v>31</v>
      </c>
      <c r="D117" t="s">
        <v>608</v>
      </c>
      <c r="E117" t="s">
        <v>612</v>
      </c>
      <c r="F117" t="s">
        <v>626</v>
      </c>
      <c r="G117">
        <v>200</v>
      </c>
    </row>
    <row r="118" spans="1:7" x14ac:dyDescent="0.25">
      <c r="A118" t="s">
        <v>123</v>
      </c>
      <c r="B118" t="s">
        <v>423</v>
      </c>
      <c r="C118">
        <v>34</v>
      </c>
      <c r="D118" t="s">
        <v>608</v>
      </c>
      <c r="E118" t="s">
        <v>611</v>
      </c>
      <c r="F118" t="s">
        <v>625</v>
      </c>
      <c r="G118">
        <v>5</v>
      </c>
    </row>
    <row r="119" spans="1:7" x14ac:dyDescent="0.25">
      <c r="A119" t="s">
        <v>124</v>
      </c>
      <c r="B119" t="s">
        <v>424</v>
      </c>
      <c r="C119">
        <v>60</v>
      </c>
      <c r="D119" t="s">
        <v>608</v>
      </c>
      <c r="E119" t="s">
        <v>615</v>
      </c>
      <c r="F119" t="s">
        <v>618</v>
      </c>
      <c r="G119">
        <v>1000</v>
      </c>
    </row>
    <row r="120" spans="1:7" x14ac:dyDescent="0.25">
      <c r="A120" t="s">
        <v>125</v>
      </c>
      <c r="B120" t="s">
        <v>425</v>
      </c>
      <c r="C120">
        <v>55</v>
      </c>
      <c r="D120" t="s">
        <v>608</v>
      </c>
      <c r="E120" t="s">
        <v>613</v>
      </c>
      <c r="F120" t="s">
        <v>623</v>
      </c>
      <c r="G120">
        <v>600</v>
      </c>
    </row>
    <row r="121" spans="1:7" x14ac:dyDescent="0.25">
      <c r="A121" t="s">
        <v>126</v>
      </c>
      <c r="B121" t="s">
        <v>426</v>
      </c>
      <c r="C121">
        <v>54</v>
      </c>
      <c r="D121" t="s">
        <v>608</v>
      </c>
      <c r="E121" t="s">
        <v>615</v>
      </c>
      <c r="F121" t="s">
        <v>618</v>
      </c>
      <c r="G121">
        <v>1000</v>
      </c>
    </row>
    <row r="122" spans="1:7" x14ac:dyDescent="0.25">
      <c r="A122" t="s">
        <v>127</v>
      </c>
      <c r="B122" t="s">
        <v>427</v>
      </c>
      <c r="C122">
        <v>77</v>
      </c>
      <c r="D122" t="s">
        <v>608</v>
      </c>
      <c r="E122" t="s">
        <v>612</v>
      </c>
      <c r="F122" t="s">
        <v>627</v>
      </c>
      <c r="G122">
        <v>5</v>
      </c>
    </row>
    <row r="123" spans="1:7" x14ac:dyDescent="0.25">
      <c r="A123" t="s">
        <v>128</v>
      </c>
      <c r="B123" t="s">
        <v>428</v>
      </c>
      <c r="C123">
        <v>54</v>
      </c>
      <c r="D123" t="s">
        <v>608</v>
      </c>
      <c r="E123" t="s">
        <v>613</v>
      </c>
      <c r="F123" t="s">
        <v>623</v>
      </c>
      <c r="G123">
        <v>600</v>
      </c>
    </row>
    <row r="124" spans="1:7" x14ac:dyDescent="0.25">
      <c r="A124" t="s">
        <v>129</v>
      </c>
      <c r="B124" t="s">
        <v>429</v>
      </c>
      <c r="C124">
        <v>9</v>
      </c>
      <c r="D124" t="s">
        <v>607</v>
      </c>
      <c r="E124" t="s">
        <v>609</v>
      </c>
      <c r="F124" t="s">
        <v>624</v>
      </c>
      <c r="G124">
        <v>500</v>
      </c>
    </row>
    <row r="125" spans="1:7" x14ac:dyDescent="0.25">
      <c r="A125" t="s">
        <v>130</v>
      </c>
      <c r="B125" t="s">
        <v>430</v>
      </c>
      <c r="C125">
        <v>36</v>
      </c>
      <c r="D125" t="s">
        <v>608</v>
      </c>
      <c r="E125" t="s">
        <v>616</v>
      </c>
      <c r="F125" t="s">
        <v>631</v>
      </c>
      <c r="G125">
        <v>100</v>
      </c>
    </row>
    <row r="126" spans="1:7" x14ac:dyDescent="0.25">
      <c r="A126" t="s">
        <v>131</v>
      </c>
      <c r="B126" t="s">
        <v>431</v>
      </c>
      <c r="C126">
        <v>20</v>
      </c>
      <c r="D126" t="s">
        <v>608</v>
      </c>
      <c r="E126" t="s">
        <v>616</v>
      </c>
      <c r="F126" t="s">
        <v>631</v>
      </c>
      <c r="G126">
        <v>100</v>
      </c>
    </row>
    <row r="127" spans="1:7" x14ac:dyDescent="0.25">
      <c r="A127" t="s">
        <v>132</v>
      </c>
      <c r="B127" t="s">
        <v>432</v>
      </c>
      <c r="C127">
        <v>76</v>
      </c>
      <c r="D127" t="s">
        <v>607</v>
      </c>
      <c r="E127" t="s">
        <v>613</v>
      </c>
      <c r="F127" t="s">
        <v>623</v>
      </c>
      <c r="G127">
        <v>600</v>
      </c>
    </row>
    <row r="128" spans="1:7" x14ac:dyDescent="0.25">
      <c r="A128" t="s">
        <v>133</v>
      </c>
      <c r="B128" t="s">
        <v>433</v>
      </c>
      <c r="C128">
        <v>6</v>
      </c>
      <c r="D128" t="s">
        <v>608</v>
      </c>
      <c r="E128" t="s">
        <v>611</v>
      </c>
      <c r="F128" t="s">
        <v>625</v>
      </c>
      <c r="G128">
        <v>5</v>
      </c>
    </row>
    <row r="129" spans="1:7" x14ac:dyDescent="0.25">
      <c r="A129" t="s">
        <v>134</v>
      </c>
      <c r="B129" t="s">
        <v>434</v>
      </c>
      <c r="C129">
        <v>74</v>
      </c>
      <c r="D129" t="s">
        <v>607</v>
      </c>
      <c r="E129" t="s">
        <v>610</v>
      </c>
      <c r="F129" t="s">
        <v>619</v>
      </c>
      <c r="G129">
        <v>650</v>
      </c>
    </row>
    <row r="130" spans="1:7" x14ac:dyDescent="0.25">
      <c r="A130" t="s">
        <v>135</v>
      </c>
      <c r="B130" t="s">
        <v>435</v>
      </c>
      <c r="C130">
        <v>75</v>
      </c>
      <c r="D130" t="s">
        <v>608</v>
      </c>
      <c r="E130" t="s">
        <v>612</v>
      </c>
      <c r="F130" t="s">
        <v>627</v>
      </c>
      <c r="G130">
        <v>5</v>
      </c>
    </row>
    <row r="131" spans="1:7" x14ac:dyDescent="0.25">
      <c r="A131" t="s">
        <v>136</v>
      </c>
      <c r="B131" t="s">
        <v>436</v>
      </c>
      <c r="C131">
        <v>18</v>
      </c>
      <c r="D131" t="s">
        <v>607</v>
      </c>
      <c r="E131" t="s">
        <v>613</v>
      </c>
      <c r="F131" t="s">
        <v>632</v>
      </c>
      <c r="G131">
        <v>300</v>
      </c>
    </row>
    <row r="132" spans="1:7" x14ac:dyDescent="0.25">
      <c r="A132" t="s">
        <v>137</v>
      </c>
      <c r="B132" t="s">
        <v>437</v>
      </c>
      <c r="C132">
        <v>22</v>
      </c>
      <c r="D132" t="s">
        <v>608</v>
      </c>
      <c r="E132" t="s">
        <v>614</v>
      </c>
      <c r="F132" t="s">
        <v>619</v>
      </c>
      <c r="G132">
        <v>500</v>
      </c>
    </row>
    <row r="133" spans="1:7" x14ac:dyDescent="0.25">
      <c r="A133" t="s">
        <v>138</v>
      </c>
      <c r="B133" t="s">
        <v>438</v>
      </c>
      <c r="C133">
        <v>38</v>
      </c>
      <c r="D133" t="s">
        <v>608</v>
      </c>
      <c r="E133" t="s">
        <v>610</v>
      </c>
      <c r="F133" t="s">
        <v>619</v>
      </c>
      <c r="G133">
        <v>650</v>
      </c>
    </row>
    <row r="134" spans="1:7" x14ac:dyDescent="0.25">
      <c r="A134" t="s">
        <v>139</v>
      </c>
      <c r="B134" t="s">
        <v>439</v>
      </c>
      <c r="C134">
        <v>50</v>
      </c>
      <c r="D134" t="s">
        <v>608</v>
      </c>
      <c r="E134" t="s">
        <v>613</v>
      </c>
      <c r="F134" t="s">
        <v>628</v>
      </c>
      <c r="G134">
        <v>300</v>
      </c>
    </row>
    <row r="135" spans="1:7" x14ac:dyDescent="0.25">
      <c r="A135" t="s">
        <v>140</v>
      </c>
      <c r="B135" t="s">
        <v>440</v>
      </c>
      <c r="C135">
        <v>73</v>
      </c>
      <c r="D135" t="s">
        <v>607</v>
      </c>
      <c r="E135" t="s">
        <v>615</v>
      </c>
      <c r="F135" t="s">
        <v>618</v>
      </c>
      <c r="G135">
        <v>1000</v>
      </c>
    </row>
    <row r="136" spans="1:7" x14ac:dyDescent="0.25">
      <c r="A136" t="s">
        <v>141</v>
      </c>
      <c r="B136" t="s">
        <v>441</v>
      </c>
      <c r="C136">
        <v>10</v>
      </c>
      <c r="D136" t="s">
        <v>607</v>
      </c>
      <c r="E136" t="s">
        <v>610</v>
      </c>
      <c r="F136" t="s">
        <v>619</v>
      </c>
      <c r="G136">
        <v>650</v>
      </c>
    </row>
    <row r="137" spans="1:7" x14ac:dyDescent="0.25">
      <c r="A137" t="s">
        <v>142</v>
      </c>
      <c r="B137" t="s">
        <v>442</v>
      </c>
      <c r="C137">
        <v>56</v>
      </c>
      <c r="D137" t="s">
        <v>608</v>
      </c>
      <c r="E137" t="s">
        <v>611</v>
      </c>
      <c r="F137" t="s">
        <v>625</v>
      </c>
      <c r="G137">
        <v>5</v>
      </c>
    </row>
    <row r="138" spans="1:7" x14ac:dyDescent="0.25">
      <c r="A138" t="s">
        <v>143</v>
      </c>
      <c r="B138" t="s">
        <v>443</v>
      </c>
      <c r="C138">
        <v>13</v>
      </c>
      <c r="D138" t="s">
        <v>607</v>
      </c>
      <c r="E138" t="s">
        <v>616</v>
      </c>
      <c r="F138" t="s">
        <v>631</v>
      </c>
      <c r="G138">
        <v>100</v>
      </c>
    </row>
    <row r="139" spans="1:7" x14ac:dyDescent="0.25">
      <c r="A139" t="s">
        <v>144</v>
      </c>
      <c r="B139" t="s">
        <v>444</v>
      </c>
      <c r="C139">
        <v>51</v>
      </c>
      <c r="D139" t="s">
        <v>607</v>
      </c>
      <c r="E139" t="s">
        <v>613</v>
      </c>
      <c r="F139" t="s">
        <v>632</v>
      </c>
      <c r="G139">
        <v>300</v>
      </c>
    </row>
    <row r="140" spans="1:7" x14ac:dyDescent="0.25">
      <c r="A140" t="s">
        <v>145</v>
      </c>
      <c r="B140" t="s">
        <v>445</v>
      </c>
      <c r="C140">
        <v>12</v>
      </c>
      <c r="D140" t="s">
        <v>607</v>
      </c>
      <c r="E140" t="s">
        <v>613</v>
      </c>
      <c r="F140" t="s">
        <v>623</v>
      </c>
      <c r="G140">
        <v>600</v>
      </c>
    </row>
    <row r="141" spans="1:7" x14ac:dyDescent="0.25">
      <c r="A141" t="s">
        <v>146</v>
      </c>
      <c r="B141" t="s">
        <v>446</v>
      </c>
      <c r="C141">
        <v>81</v>
      </c>
      <c r="D141" t="s">
        <v>607</v>
      </c>
      <c r="E141" t="s">
        <v>613</v>
      </c>
      <c r="F141" t="s">
        <v>623</v>
      </c>
      <c r="G141">
        <v>600</v>
      </c>
    </row>
    <row r="142" spans="1:7" x14ac:dyDescent="0.25">
      <c r="A142" t="s">
        <v>147</v>
      </c>
      <c r="B142" t="s">
        <v>447</v>
      </c>
      <c r="C142">
        <v>53</v>
      </c>
      <c r="D142" t="s">
        <v>607</v>
      </c>
      <c r="E142" t="s">
        <v>616</v>
      </c>
      <c r="F142" t="s">
        <v>630</v>
      </c>
      <c r="G142">
        <v>10</v>
      </c>
    </row>
    <row r="143" spans="1:7" x14ac:dyDescent="0.25">
      <c r="A143" t="s">
        <v>148</v>
      </c>
      <c r="B143" t="s">
        <v>448</v>
      </c>
      <c r="C143">
        <v>54</v>
      </c>
      <c r="D143" t="s">
        <v>608</v>
      </c>
      <c r="E143" t="s">
        <v>613</v>
      </c>
      <c r="F143" t="s">
        <v>628</v>
      </c>
      <c r="G143">
        <v>300</v>
      </c>
    </row>
    <row r="144" spans="1:7" x14ac:dyDescent="0.25">
      <c r="A144" t="s">
        <v>149</v>
      </c>
      <c r="B144" t="s">
        <v>449</v>
      </c>
      <c r="C144">
        <v>6</v>
      </c>
      <c r="D144" t="s">
        <v>607</v>
      </c>
      <c r="E144" t="s">
        <v>616</v>
      </c>
      <c r="F144" t="s">
        <v>631</v>
      </c>
      <c r="G144">
        <v>100</v>
      </c>
    </row>
    <row r="145" spans="1:7" x14ac:dyDescent="0.25">
      <c r="A145" t="s">
        <v>150</v>
      </c>
      <c r="B145" t="s">
        <v>450</v>
      </c>
      <c r="C145">
        <v>47</v>
      </c>
      <c r="D145" t="s">
        <v>607</v>
      </c>
      <c r="E145" t="s">
        <v>610</v>
      </c>
      <c r="F145" t="s">
        <v>619</v>
      </c>
      <c r="G145">
        <v>650</v>
      </c>
    </row>
    <row r="146" spans="1:7" x14ac:dyDescent="0.25">
      <c r="A146" t="s">
        <v>151</v>
      </c>
      <c r="B146" t="s">
        <v>451</v>
      </c>
      <c r="C146">
        <v>17</v>
      </c>
      <c r="D146" t="s">
        <v>607</v>
      </c>
      <c r="E146" t="s">
        <v>613</v>
      </c>
      <c r="F146" t="s">
        <v>623</v>
      </c>
      <c r="G146">
        <v>600</v>
      </c>
    </row>
    <row r="147" spans="1:7" x14ac:dyDescent="0.25">
      <c r="A147" t="s">
        <v>152</v>
      </c>
      <c r="B147" t="s">
        <v>452</v>
      </c>
      <c r="C147">
        <v>43</v>
      </c>
      <c r="D147" t="s">
        <v>608</v>
      </c>
      <c r="E147" t="s">
        <v>611</v>
      </c>
      <c r="F147" t="s">
        <v>625</v>
      </c>
      <c r="G147">
        <v>5</v>
      </c>
    </row>
    <row r="148" spans="1:7" x14ac:dyDescent="0.25">
      <c r="A148" t="s">
        <v>153</v>
      </c>
      <c r="B148" t="s">
        <v>453</v>
      </c>
      <c r="C148">
        <v>43</v>
      </c>
      <c r="D148" t="s">
        <v>607</v>
      </c>
      <c r="E148" t="s">
        <v>614</v>
      </c>
      <c r="F148" t="s">
        <v>619</v>
      </c>
      <c r="G148">
        <v>500</v>
      </c>
    </row>
    <row r="149" spans="1:7" x14ac:dyDescent="0.25">
      <c r="A149" t="s">
        <v>154</v>
      </c>
      <c r="B149" t="s">
        <v>454</v>
      </c>
      <c r="C149">
        <v>43</v>
      </c>
      <c r="D149" t="s">
        <v>607</v>
      </c>
      <c r="E149" t="s">
        <v>613</v>
      </c>
      <c r="F149" t="s">
        <v>628</v>
      </c>
      <c r="G149">
        <v>300</v>
      </c>
    </row>
    <row r="150" spans="1:7" x14ac:dyDescent="0.25">
      <c r="A150" t="s">
        <v>155</v>
      </c>
      <c r="B150" t="s">
        <v>455</v>
      </c>
      <c r="C150">
        <v>6</v>
      </c>
      <c r="D150" t="s">
        <v>608</v>
      </c>
      <c r="E150" t="s">
        <v>613</v>
      </c>
      <c r="F150" t="s">
        <v>628</v>
      </c>
      <c r="G150">
        <v>300</v>
      </c>
    </row>
    <row r="151" spans="1:7" x14ac:dyDescent="0.25">
      <c r="A151" t="s">
        <v>156</v>
      </c>
      <c r="B151" t="s">
        <v>456</v>
      </c>
      <c r="C151">
        <v>66</v>
      </c>
      <c r="D151" t="s">
        <v>608</v>
      </c>
      <c r="E151" t="s">
        <v>612</v>
      </c>
      <c r="F151" t="s">
        <v>627</v>
      </c>
      <c r="G151">
        <v>5</v>
      </c>
    </row>
    <row r="152" spans="1:7" x14ac:dyDescent="0.25">
      <c r="A152" t="s">
        <v>157</v>
      </c>
      <c r="B152" t="s">
        <v>457</v>
      </c>
      <c r="C152">
        <v>54</v>
      </c>
      <c r="D152" t="s">
        <v>607</v>
      </c>
      <c r="E152" t="s">
        <v>612</v>
      </c>
      <c r="F152" t="s">
        <v>626</v>
      </c>
      <c r="G152">
        <v>300</v>
      </c>
    </row>
    <row r="153" spans="1:7" x14ac:dyDescent="0.25">
      <c r="A153" t="s">
        <v>158</v>
      </c>
      <c r="B153" t="s">
        <v>458</v>
      </c>
      <c r="C153">
        <v>21</v>
      </c>
      <c r="D153" t="s">
        <v>607</v>
      </c>
      <c r="E153" t="s">
        <v>613</v>
      </c>
      <c r="F153" t="s">
        <v>623</v>
      </c>
      <c r="G153">
        <v>600</v>
      </c>
    </row>
    <row r="154" spans="1:7" x14ac:dyDescent="0.25">
      <c r="A154" t="s">
        <v>159</v>
      </c>
      <c r="B154" t="s">
        <v>459</v>
      </c>
      <c r="C154">
        <v>55</v>
      </c>
      <c r="D154" t="s">
        <v>607</v>
      </c>
      <c r="E154" t="s">
        <v>609</v>
      </c>
      <c r="F154" t="s">
        <v>629</v>
      </c>
      <c r="G154">
        <v>2</v>
      </c>
    </row>
    <row r="155" spans="1:7" x14ac:dyDescent="0.25">
      <c r="A155" t="s">
        <v>160</v>
      </c>
      <c r="B155" t="s">
        <v>460</v>
      </c>
      <c r="C155">
        <v>44</v>
      </c>
      <c r="D155" t="s">
        <v>607</v>
      </c>
      <c r="E155" t="s">
        <v>615</v>
      </c>
      <c r="F155" t="s">
        <v>622</v>
      </c>
      <c r="G155">
        <v>500</v>
      </c>
    </row>
    <row r="156" spans="1:7" x14ac:dyDescent="0.25">
      <c r="A156" t="s">
        <v>161</v>
      </c>
      <c r="B156" t="s">
        <v>461</v>
      </c>
      <c r="C156">
        <v>43</v>
      </c>
      <c r="D156" t="s">
        <v>607</v>
      </c>
      <c r="E156" t="s">
        <v>614</v>
      </c>
      <c r="F156" t="s">
        <v>619</v>
      </c>
      <c r="G156">
        <v>500</v>
      </c>
    </row>
    <row r="157" spans="1:7" x14ac:dyDescent="0.25">
      <c r="A157" t="s">
        <v>162</v>
      </c>
      <c r="B157" t="s">
        <v>462</v>
      </c>
      <c r="C157">
        <v>60</v>
      </c>
      <c r="D157" t="s">
        <v>608</v>
      </c>
      <c r="E157" t="s">
        <v>616</v>
      </c>
      <c r="F157" t="s">
        <v>631</v>
      </c>
      <c r="G157">
        <v>100</v>
      </c>
    </row>
    <row r="158" spans="1:7" x14ac:dyDescent="0.25">
      <c r="A158" t="s">
        <v>163</v>
      </c>
      <c r="B158" t="s">
        <v>463</v>
      </c>
      <c r="C158">
        <v>82</v>
      </c>
      <c r="D158" t="s">
        <v>607</v>
      </c>
      <c r="E158" t="s">
        <v>613</v>
      </c>
      <c r="F158" t="s">
        <v>628</v>
      </c>
      <c r="G158">
        <v>300</v>
      </c>
    </row>
    <row r="159" spans="1:7" x14ac:dyDescent="0.25">
      <c r="A159" t="s">
        <v>164</v>
      </c>
      <c r="B159" t="s">
        <v>464</v>
      </c>
      <c r="C159">
        <v>71</v>
      </c>
      <c r="D159" t="s">
        <v>608</v>
      </c>
      <c r="E159" t="s">
        <v>612</v>
      </c>
      <c r="F159" t="s">
        <v>627</v>
      </c>
      <c r="G159">
        <v>5</v>
      </c>
    </row>
    <row r="160" spans="1:7" x14ac:dyDescent="0.25">
      <c r="A160" t="s">
        <v>165</v>
      </c>
      <c r="B160" t="s">
        <v>465</v>
      </c>
      <c r="C160">
        <v>38</v>
      </c>
      <c r="D160" t="s">
        <v>607</v>
      </c>
      <c r="E160" t="s">
        <v>615</v>
      </c>
      <c r="F160" t="s">
        <v>618</v>
      </c>
      <c r="G160">
        <v>1000</v>
      </c>
    </row>
    <row r="161" spans="1:7" x14ac:dyDescent="0.25">
      <c r="A161" t="s">
        <v>166</v>
      </c>
      <c r="B161" t="s">
        <v>466</v>
      </c>
      <c r="C161">
        <v>84</v>
      </c>
      <c r="D161" t="s">
        <v>608</v>
      </c>
      <c r="E161" t="s">
        <v>611</v>
      </c>
      <c r="F161" t="s">
        <v>620</v>
      </c>
      <c r="G161">
        <v>50</v>
      </c>
    </row>
    <row r="162" spans="1:7" x14ac:dyDescent="0.25">
      <c r="A162" t="s">
        <v>167</v>
      </c>
      <c r="B162" t="s">
        <v>467</v>
      </c>
      <c r="C162">
        <v>50</v>
      </c>
      <c r="D162" t="s">
        <v>607</v>
      </c>
      <c r="E162" t="s">
        <v>614</v>
      </c>
      <c r="F162" t="s">
        <v>619</v>
      </c>
      <c r="G162">
        <v>500</v>
      </c>
    </row>
    <row r="163" spans="1:7" x14ac:dyDescent="0.25">
      <c r="A163" t="s">
        <v>168</v>
      </c>
      <c r="B163" t="s">
        <v>468</v>
      </c>
      <c r="C163">
        <v>77</v>
      </c>
      <c r="D163" t="s">
        <v>607</v>
      </c>
      <c r="E163" t="s">
        <v>613</v>
      </c>
      <c r="F163" t="s">
        <v>623</v>
      </c>
      <c r="G163">
        <v>600</v>
      </c>
    </row>
    <row r="164" spans="1:7" x14ac:dyDescent="0.25">
      <c r="A164" t="s">
        <v>169</v>
      </c>
      <c r="B164" t="s">
        <v>469</v>
      </c>
      <c r="C164">
        <v>51</v>
      </c>
      <c r="D164" t="s">
        <v>607</v>
      </c>
      <c r="E164" t="s">
        <v>609</v>
      </c>
      <c r="F164" t="s">
        <v>629</v>
      </c>
      <c r="G164">
        <v>2</v>
      </c>
    </row>
    <row r="165" spans="1:7" x14ac:dyDescent="0.25">
      <c r="A165" t="s">
        <v>170</v>
      </c>
      <c r="B165" t="s">
        <v>470</v>
      </c>
      <c r="C165">
        <v>12</v>
      </c>
      <c r="D165" t="s">
        <v>608</v>
      </c>
      <c r="E165" t="s">
        <v>610</v>
      </c>
      <c r="F165" t="s">
        <v>619</v>
      </c>
      <c r="G165">
        <v>650</v>
      </c>
    </row>
    <row r="166" spans="1:7" x14ac:dyDescent="0.25">
      <c r="A166" t="s">
        <v>171</v>
      </c>
      <c r="B166" t="s">
        <v>471</v>
      </c>
      <c r="C166">
        <v>46</v>
      </c>
      <c r="D166" t="s">
        <v>608</v>
      </c>
      <c r="E166" t="s">
        <v>612</v>
      </c>
      <c r="F166" t="s">
        <v>626</v>
      </c>
      <c r="G166">
        <v>200</v>
      </c>
    </row>
    <row r="167" spans="1:7" x14ac:dyDescent="0.25">
      <c r="A167" t="s">
        <v>172</v>
      </c>
      <c r="B167" t="s">
        <v>472</v>
      </c>
      <c r="C167">
        <v>58</v>
      </c>
      <c r="D167" t="s">
        <v>608</v>
      </c>
      <c r="E167" t="s">
        <v>613</v>
      </c>
      <c r="F167" t="s">
        <v>628</v>
      </c>
      <c r="G167">
        <v>300</v>
      </c>
    </row>
    <row r="168" spans="1:7" x14ac:dyDescent="0.25">
      <c r="A168" t="s">
        <v>173</v>
      </c>
      <c r="B168" t="s">
        <v>473</v>
      </c>
      <c r="C168">
        <v>54</v>
      </c>
      <c r="D168" t="s">
        <v>608</v>
      </c>
      <c r="E168" t="s">
        <v>611</v>
      </c>
      <c r="F168" t="s">
        <v>621</v>
      </c>
      <c r="G168">
        <v>50</v>
      </c>
    </row>
    <row r="169" spans="1:7" x14ac:dyDescent="0.25">
      <c r="A169" t="s">
        <v>174</v>
      </c>
      <c r="B169" t="s">
        <v>474</v>
      </c>
      <c r="C169">
        <v>57</v>
      </c>
      <c r="D169" t="s">
        <v>608</v>
      </c>
      <c r="E169" t="s">
        <v>611</v>
      </c>
      <c r="F169" t="s">
        <v>620</v>
      </c>
      <c r="G169">
        <v>50</v>
      </c>
    </row>
    <row r="170" spans="1:7" x14ac:dyDescent="0.25">
      <c r="A170" t="s">
        <v>175</v>
      </c>
      <c r="B170" t="s">
        <v>475</v>
      </c>
      <c r="C170">
        <v>69</v>
      </c>
      <c r="D170" t="s">
        <v>608</v>
      </c>
      <c r="E170" t="s">
        <v>616</v>
      </c>
      <c r="F170" t="s">
        <v>631</v>
      </c>
      <c r="G170">
        <v>100</v>
      </c>
    </row>
    <row r="171" spans="1:7" x14ac:dyDescent="0.25">
      <c r="A171" t="s">
        <v>176</v>
      </c>
      <c r="B171" t="s">
        <v>476</v>
      </c>
      <c r="C171">
        <v>71</v>
      </c>
      <c r="D171" t="s">
        <v>608</v>
      </c>
      <c r="E171" t="s">
        <v>613</v>
      </c>
      <c r="F171" t="s">
        <v>628</v>
      </c>
      <c r="G171">
        <v>300</v>
      </c>
    </row>
    <row r="172" spans="1:7" x14ac:dyDescent="0.25">
      <c r="A172" t="s">
        <v>177</v>
      </c>
      <c r="B172" t="s">
        <v>477</v>
      </c>
      <c r="C172">
        <v>70</v>
      </c>
      <c r="D172" t="s">
        <v>608</v>
      </c>
      <c r="E172" t="s">
        <v>613</v>
      </c>
      <c r="F172" t="s">
        <v>623</v>
      </c>
      <c r="G172">
        <v>600</v>
      </c>
    </row>
    <row r="173" spans="1:7" x14ac:dyDescent="0.25">
      <c r="A173" t="s">
        <v>178</v>
      </c>
      <c r="B173" t="s">
        <v>478</v>
      </c>
      <c r="C173">
        <v>35</v>
      </c>
      <c r="D173" t="s">
        <v>608</v>
      </c>
      <c r="E173" t="s">
        <v>609</v>
      </c>
      <c r="F173" t="s">
        <v>617</v>
      </c>
      <c r="G173">
        <v>10</v>
      </c>
    </row>
    <row r="174" spans="1:7" x14ac:dyDescent="0.25">
      <c r="A174" t="s">
        <v>179</v>
      </c>
      <c r="B174" t="s">
        <v>479</v>
      </c>
      <c r="C174">
        <v>74</v>
      </c>
      <c r="D174" t="s">
        <v>607</v>
      </c>
      <c r="E174" t="s">
        <v>616</v>
      </c>
      <c r="F174" t="s">
        <v>631</v>
      </c>
      <c r="G174">
        <v>100</v>
      </c>
    </row>
    <row r="175" spans="1:7" x14ac:dyDescent="0.25">
      <c r="A175" t="s">
        <v>180</v>
      </c>
      <c r="B175" t="s">
        <v>480</v>
      </c>
      <c r="C175">
        <v>51</v>
      </c>
      <c r="D175" t="s">
        <v>607</v>
      </c>
      <c r="E175" t="s">
        <v>614</v>
      </c>
      <c r="F175" t="s">
        <v>619</v>
      </c>
      <c r="G175">
        <v>500</v>
      </c>
    </row>
    <row r="176" spans="1:7" x14ac:dyDescent="0.25">
      <c r="A176" t="s">
        <v>181</v>
      </c>
      <c r="B176" t="s">
        <v>481</v>
      </c>
      <c r="C176">
        <v>60</v>
      </c>
      <c r="D176" t="s">
        <v>608</v>
      </c>
      <c r="E176" t="s">
        <v>610</v>
      </c>
      <c r="F176" t="s">
        <v>619</v>
      </c>
      <c r="G176">
        <v>650</v>
      </c>
    </row>
    <row r="177" spans="1:7" x14ac:dyDescent="0.25">
      <c r="A177" t="s">
        <v>182</v>
      </c>
      <c r="B177" t="s">
        <v>482</v>
      </c>
      <c r="C177">
        <v>51</v>
      </c>
      <c r="D177" t="s">
        <v>608</v>
      </c>
      <c r="E177" t="s">
        <v>612</v>
      </c>
      <c r="F177" t="s">
        <v>627</v>
      </c>
      <c r="G177">
        <v>5</v>
      </c>
    </row>
    <row r="178" spans="1:7" x14ac:dyDescent="0.25">
      <c r="A178" t="s">
        <v>183</v>
      </c>
      <c r="B178" t="s">
        <v>483</v>
      </c>
      <c r="C178">
        <v>51</v>
      </c>
      <c r="D178" t="s">
        <v>608</v>
      </c>
      <c r="E178" t="s">
        <v>609</v>
      </c>
      <c r="F178" t="s">
        <v>624</v>
      </c>
      <c r="G178">
        <v>500</v>
      </c>
    </row>
    <row r="179" spans="1:7" x14ac:dyDescent="0.25">
      <c r="A179" t="s">
        <v>184</v>
      </c>
      <c r="B179" t="s">
        <v>484</v>
      </c>
      <c r="C179">
        <v>79</v>
      </c>
      <c r="D179" t="s">
        <v>607</v>
      </c>
      <c r="E179" t="s">
        <v>615</v>
      </c>
      <c r="F179" t="s">
        <v>622</v>
      </c>
      <c r="G179">
        <v>500</v>
      </c>
    </row>
    <row r="180" spans="1:7" x14ac:dyDescent="0.25">
      <c r="A180" t="s">
        <v>185</v>
      </c>
      <c r="B180" t="s">
        <v>485</v>
      </c>
      <c r="C180">
        <v>43</v>
      </c>
      <c r="D180" t="s">
        <v>607</v>
      </c>
      <c r="E180" t="s">
        <v>614</v>
      </c>
      <c r="F180" t="s">
        <v>619</v>
      </c>
      <c r="G180">
        <v>500</v>
      </c>
    </row>
    <row r="181" spans="1:7" x14ac:dyDescent="0.25">
      <c r="A181" t="s">
        <v>186</v>
      </c>
      <c r="B181" t="s">
        <v>486</v>
      </c>
      <c r="C181">
        <v>56</v>
      </c>
      <c r="D181" t="s">
        <v>607</v>
      </c>
      <c r="E181" t="s">
        <v>612</v>
      </c>
      <c r="F181" t="s">
        <v>627</v>
      </c>
      <c r="G181">
        <v>5</v>
      </c>
    </row>
    <row r="182" spans="1:7" x14ac:dyDescent="0.25">
      <c r="A182" t="s">
        <v>187</v>
      </c>
      <c r="B182" t="s">
        <v>487</v>
      </c>
      <c r="C182">
        <v>69</v>
      </c>
      <c r="D182" t="s">
        <v>608</v>
      </c>
      <c r="E182" t="s">
        <v>611</v>
      </c>
      <c r="F182" t="s">
        <v>625</v>
      </c>
      <c r="G182">
        <v>5</v>
      </c>
    </row>
    <row r="183" spans="1:7" x14ac:dyDescent="0.25">
      <c r="A183" t="s">
        <v>188</v>
      </c>
      <c r="B183" t="s">
        <v>488</v>
      </c>
      <c r="C183">
        <v>6</v>
      </c>
      <c r="D183" t="s">
        <v>608</v>
      </c>
      <c r="E183" t="s">
        <v>614</v>
      </c>
      <c r="F183" t="s">
        <v>619</v>
      </c>
      <c r="G183">
        <v>500</v>
      </c>
    </row>
    <row r="184" spans="1:7" x14ac:dyDescent="0.25">
      <c r="A184" t="s">
        <v>189</v>
      </c>
      <c r="B184" t="s">
        <v>489</v>
      </c>
      <c r="C184">
        <v>69</v>
      </c>
      <c r="D184" t="s">
        <v>607</v>
      </c>
      <c r="E184" t="s">
        <v>615</v>
      </c>
      <c r="F184" t="s">
        <v>622</v>
      </c>
      <c r="G184">
        <v>500</v>
      </c>
    </row>
    <row r="185" spans="1:7" x14ac:dyDescent="0.25">
      <c r="A185" t="s">
        <v>190</v>
      </c>
      <c r="B185" t="s">
        <v>490</v>
      </c>
      <c r="C185">
        <v>23</v>
      </c>
      <c r="D185" t="s">
        <v>608</v>
      </c>
      <c r="E185" t="s">
        <v>609</v>
      </c>
      <c r="F185" t="s">
        <v>629</v>
      </c>
      <c r="G185">
        <v>2</v>
      </c>
    </row>
    <row r="186" spans="1:7" x14ac:dyDescent="0.25">
      <c r="A186" t="s">
        <v>191</v>
      </c>
      <c r="B186" t="s">
        <v>491</v>
      </c>
      <c r="C186">
        <v>44</v>
      </c>
      <c r="D186" t="s">
        <v>608</v>
      </c>
      <c r="E186" t="s">
        <v>616</v>
      </c>
      <c r="F186" t="s">
        <v>631</v>
      </c>
      <c r="G186">
        <v>100</v>
      </c>
    </row>
    <row r="187" spans="1:7" x14ac:dyDescent="0.25">
      <c r="A187" t="s">
        <v>192</v>
      </c>
      <c r="B187" t="s">
        <v>492</v>
      </c>
      <c r="C187">
        <v>37</v>
      </c>
      <c r="D187" t="s">
        <v>607</v>
      </c>
      <c r="E187" t="s">
        <v>609</v>
      </c>
      <c r="F187" t="s">
        <v>624</v>
      </c>
      <c r="G187">
        <v>500</v>
      </c>
    </row>
    <row r="188" spans="1:7" x14ac:dyDescent="0.25">
      <c r="A188" t="s">
        <v>193</v>
      </c>
      <c r="B188" t="s">
        <v>493</v>
      </c>
      <c r="C188">
        <v>16</v>
      </c>
      <c r="D188" t="s">
        <v>607</v>
      </c>
      <c r="E188" t="s">
        <v>613</v>
      </c>
      <c r="F188" t="s">
        <v>628</v>
      </c>
      <c r="G188">
        <v>300</v>
      </c>
    </row>
    <row r="189" spans="1:7" x14ac:dyDescent="0.25">
      <c r="A189" t="s">
        <v>194</v>
      </c>
      <c r="B189" t="s">
        <v>494</v>
      </c>
      <c r="C189">
        <v>10</v>
      </c>
      <c r="D189" t="s">
        <v>607</v>
      </c>
      <c r="E189" t="s">
        <v>613</v>
      </c>
      <c r="F189" t="s">
        <v>623</v>
      </c>
      <c r="G189">
        <v>600</v>
      </c>
    </row>
    <row r="190" spans="1:7" x14ac:dyDescent="0.25">
      <c r="A190" t="s">
        <v>195</v>
      </c>
      <c r="B190" t="s">
        <v>495</v>
      </c>
      <c r="C190">
        <v>40</v>
      </c>
      <c r="D190" t="s">
        <v>607</v>
      </c>
      <c r="E190" t="s">
        <v>610</v>
      </c>
      <c r="F190" t="s">
        <v>619</v>
      </c>
      <c r="G190">
        <v>650</v>
      </c>
    </row>
    <row r="191" spans="1:7" x14ac:dyDescent="0.25">
      <c r="A191" t="s">
        <v>196</v>
      </c>
      <c r="B191" t="s">
        <v>496</v>
      </c>
      <c r="C191">
        <v>66</v>
      </c>
      <c r="D191" t="s">
        <v>607</v>
      </c>
      <c r="E191" t="s">
        <v>609</v>
      </c>
      <c r="F191" t="s">
        <v>629</v>
      </c>
      <c r="G191">
        <v>2</v>
      </c>
    </row>
    <row r="192" spans="1:7" x14ac:dyDescent="0.25">
      <c r="A192" t="s">
        <v>197</v>
      </c>
      <c r="B192" t="s">
        <v>497</v>
      </c>
      <c r="C192">
        <v>57</v>
      </c>
      <c r="D192" t="s">
        <v>608</v>
      </c>
      <c r="E192" t="s">
        <v>614</v>
      </c>
      <c r="F192" t="s">
        <v>632</v>
      </c>
      <c r="G192">
        <v>500</v>
      </c>
    </row>
    <row r="193" spans="1:7" x14ac:dyDescent="0.25">
      <c r="A193" t="s">
        <v>198</v>
      </c>
      <c r="B193" t="s">
        <v>498</v>
      </c>
      <c r="C193">
        <v>37</v>
      </c>
      <c r="D193" t="s">
        <v>607</v>
      </c>
      <c r="E193" t="s">
        <v>632</v>
      </c>
      <c r="F193" t="s">
        <v>621</v>
      </c>
      <c r="G193">
        <v>50</v>
      </c>
    </row>
    <row r="194" spans="1:7" x14ac:dyDescent="0.25">
      <c r="A194" t="s">
        <v>199</v>
      </c>
      <c r="B194" t="s">
        <v>499</v>
      </c>
      <c r="C194">
        <v>26</v>
      </c>
      <c r="D194" t="s">
        <v>607</v>
      </c>
      <c r="E194" t="s">
        <v>614</v>
      </c>
      <c r="F194" t="s">
        <v>619</v>
      </c>
      <c r="G194">
        <v>500</v>
      </c>
    </row>
    <row r="195" spans="1:7" x14ac:dyDescent="0.25">
      <c r="A195" t="s">
        <v>200</v>
      </c>
      <c r="B195" t="s">
        <v>500</v>
      </c>
      <c r="C195">
        <v>83</v>
      </c>
      <c r="D195" t="s">
        <v>607</v>
      </c>
      <c r="E195" t="s">
        <v>612</v>
      </c>
      <c r="F195" t="s">
        <v>627</v>
      </c>
      <c r="G195">
        <v>5</v>
      </c>
    </row>
    <row r="196" spans="1:7" x14ac:dyDescent="0.25">
      <c r="A196" t="s">
        <v>201</v>
      </c>
      <c r="B196" t="s">
        <v>501</v>
      </c>
      <c r="C196">
        <v>26</v>
      </c>
      <c r="D196" t="s">
        <v>607</v>
      </c>
      <c r="E196" t="s">
        <v>616</v>
      </c>
      <c r="F196" t="s">
        <v>631</v>
      </c>
      <c r="G196">
        <v>100</v>
      </c>
    </row>
    <row r="197" spans="1:7" x14ac:dyDescent="0.25">
      <c r="A197" t="s">
        <v>202</v>
      </c>
      <c r="B197" t="s">
        <v>502</v>
      </c>
      <c r="C197">
        <v>47</v>
      </c>
      <c r="D197" t="s">
        <v>607</v>
      </c>
      <c r="E197" t="s">
        <v>615</v>
      </c>
      <c r="F197" t="s">
        <v>618</v>
      </c>
      <c r="G197">
        <v>1000</v>
      </c>
    </row>
    <row r="198" spans="1:7" x14ac:dyDescent="0.25">
      <c r="A198" t="s">
        <v>203</v>
      </c>
      <c r="B198" t="s">
        <v>503</v>
      </c>
      <c r="C198">
        <v>46</v>
      </c>
      <c r="D198" t="s">
        <v>608</v>
      </c>
      <c r="E198" t="s">
        <v>610</v>
      </c>
      <c r="F198" t="s">
        <v>619</v>
      </c>
      <c r="G198">
        <v>650</v>
      </c>
    </row>
    <row r="199" spans="1:7" x14ac:dyDescent="0.25">
      <c r="A199" t="s">
        <v>204</v>
      </c>
      <c r="B199" t="s">
        <v>504</v>
      </c>
      <c r="C199">
        <v>13</v>
      </c>
      <c r="D199" t="s">
        <v>607</v>
      </c>
      <c r="E199" t="s">
        <v>615</v>
      </c>
      <c r="F199" t="s">
        <v>622</v>
      </c>
      <c r="G199">
        <v>500</v>
      </c>
    </row>
    <row r="200" spans="1:7" x14ac:dyDescent="0.25">
      <c r="A200" t="s">
        <v>205</v>
      </c>
      <c r="B200" t="s">
        <v>505</v>
      </c>
      <c r="C200">
        <v>51</v>
      </c>
      <c r="D200" t="s">
        <v>607</v>
      </c>
      <c r="E200" t="s">
        <v>610</v>
      </c>
      <c r="F200" t="s">
        <v>619</v>
      </c>
      <c r="G200">
        <v>650</v>
      </c>
    </row>
    <row r="201" spans="1:7" x14ac:dyDescent="0.25">
      <c r="A201" t="s">
        <v>206</v>
      </c>
      <c r="B201" t="s">
        <v>506</v>
      </c>
      <c r="C201">
        <v>43</v>
      </c>
      <c r="D201" t="s">
        <v>607</v>
      </c>
      <c r="E201" t="s">
        <v>609</v>
      </c>
      <c r="F201" t="s">
        <v>624</v>
      </c>
      <c r="G201">
        <v>500</v>
      </c>
    </row>
    <row r="202" spans="1:7" x14ac:dyDescent="0.25">
      <c r="A202" t="s">
        <v>207</v>
      </c>
      <c r="B202" t="s">
        <v>507</v>
      </c>
      <c r="C202">
        <v>16</v>
      </c>
      <c r="D202" t="s">
        <v>608</v>
      </c>
      <c r="E202" t="s">
        <v>609</v>
      </c>
      <c r="F202" t="s">
        <v>624</v>
      </c>
      <c r="G202">
        <v>500</v>
      </c>
    </row>
    <row r="203" spans="1:7" x14ac:dyDescent="0.25">
      <c r="A203" t="s">
        <v>208</v>
      </c>
      <c r="B203" t="s">
        <v>508</v>
      </c>
      <c r="C203">
        <v>81</v>
      </c>
      <c r="D203" t="s">
        <v>608</v>
      </c>
      <c r="E203" t="s">
        <v>616</v>
      </c>
      <c r="F203" t="s">
        <v>630</v>
      </c>
      <c r="G203">
        <v>10</v>
      </c>
    </row>
    <row r="204" spans="1:7" x14ac:dyDescent="0.25">
      <c r="A204" t="s">
        <v>209</v>
      </c>
      <c r="B204" t="s">
        <v>509</v>
      </c>
      <c r="C204">
        <v>57</v>
      </c>
      <c r="D204" t="s">
        <v>607</v>
      </c>
      <c r="E204" t="s">
        <v>615</v>
      </c>
      <c r="F204" t="s">
        <v>622</v>
      </c>
      <c r="G204">
        <v>500</v>
      </c>
    </row>
    <row r="205" spans="1:7" x14ac:dyDescent="0.25">
      <c r="A205" t="s">
        <v>210</v>
      </c>
      <c r="B205" t="s">
        <v>510</v>
      </c>
      <c r="C205">
        <v>27</v>
      </c>
      <c r="D205" t="s">
        <v>607</v>
      </c>
      <c r="E205" t="s">
        <v>610</v>
      </c>
      <c r="F205" t="s">
        <v>619</v>
      </c>
      <c r="G205">
        <v>650</v>
      </c>
    </row>
    <row r="206" spans="1:7" x14ac:dyDescent="0.25">
      <c r="A206" t="s">
        <v>211</v>
      </c>
      <c r="B206" t="s">
        <v>511</v>
      </c>
      <c r="C206">
        <v>12</v>
      </c>
      <c r="D206" t="s">
        <v>632</v>
      </c>
      <c r="E206" t="s">
        <v>615</v>
      </c>
      <c r="F206" t="s">
        <v>622</v>
      </c>
      <c r="G206">
        <v>500</v>
      </c>
    </row>
    <row r="207" spans="1:7" x14ac:dyDescent="0.25">
      <c r="A207" t="s">
        <v>212</v>
      </c>
      <c r="B207" t="s">
        <v>512</v>
      </c>
      <c r="C207">
        <v>10</v>
      </c>
      <c r="D207" t="s">
        <v>608</v>
      </c>
      <c r="E207" t="s">
        <v>615</v>
      </c>
      <c r="F207" t="s">
        <v>618</v>
      </c>
      <c r="G207">
        <v>1000</v>
      </c>
    </row>
    <row r="208" spans="1:7" x14ac:dyDescent="0.25">
      <c r="A208" t="s">
        <v>213</v>
      </c>
      <c r="B208" t="s">
        <v>513</v>
      </c>
      <c r="C208">
        <v>28</v>
      </c>
      <c r="D208" t="s">
        <v>608</v>
      </c>
      <c r="E208" t="s">
        <v>612</v>
      </c>
      <c r="F208" t="s">
        <v>626</v>
      </c>
      <c r="G208">
        <v>200</v>
      </c>
    </row>
    <row r="209" spans="1:7" x14ac:dyDescent="0.25">
      <c r="A209" t="s">
        <v>214</v>
      </c>
      <c r="B209" t="s">
        <v>514</v>
      </c>
      <c r="C209">
        <v>43</v>
      </c>
      <c r="D209" t="s">
        <v>608</v>
      </c>
      <c r="E209" t="s">
        <v>612</v>
      </c>
      <c r="F209" t="s">
        <v>626</v>
      </c>
      <c r="G209">
        <v>200</v>
      </c>
    </row>
    <row r="210" spans="1:7" x14ac:dyDescent="0.25">
      <c r="A210" t="s">
        <v>215</v>
      </c>
      <c r="B210" t="s">
        <v>515</v>
      </c>
      <c r="C210">
        <v>30</v>
      </c>
      <c r="D210" t="s">
        <v>608</v>
      </c>
      <c r="E210" t="s">
        <v>611</v>
      </c>
      <c r="F210" t="s">
        <v>620</v>
      </c>
      <c r="G210">
        <v>50</v>
      </c>
    </row>
    <row r="211" spans="1:7" x14ac:dyDescent="0.25">
      <c r="A211" t="s">
        <v>216</v>
      </c>
      <c r="B211" t="s">
        <v>516</v>
      </c>
      <c r="C211">
        <v>76</v>
      </c>
      <c r="D211" t="s">
        <v>607</v>
      </c>
      <c r="E211" t="s">
        <v>614</v>
      </c>
      <c r="F211" t="s">
        <v>619</v>
      </c>
      <c r="G211">
        <v>500</v>
      </c>
    </row>
    <row r="212" spans="1:7" x14ac:dyDescent="0.25">
      <c r="A212" t="s">
        <v>217</v>
      </c>
      <c r="B212" t="s">
        <v>517</v>
      </c>
      <c r="C212">
        <v>38</v>
      </c>
      <c r="D212" t="s">
        <v>608</v>
      </c>
      <c r="E212" t="s">
        <v>609</v>
      </c>
      <c r="F212" t="s">
        <v>624</v>
      </c>
      <c r="G212">
        <v>500</v>
      </c>
    </row>
    <row r="213" spans="1:7" x14ac:dyDescent="0.25">
      <c r="A213" t="s">
        <v>218</v>
      </c>
      <c r="B213" t="s">
        <v>518</v>
      </c>
      <c r="C213">
        <v>49</v>
      </c>
      <c r="D213" t="s">
        <v>607</v>
      </c>
      <c r="E213" t="s">
        <v>611</v>
      </c>
      <c r="F213" t="s">
        <v>620</v>
      </c>
      <c r="G213">
        <v>50</v>
      </c>
    </row>
    <row r="214" spans="1:7" x14ac:dyDescent="0.25">
      <c r="A214" t="s">
        <v>219</v>
      </c>
      <c r="B214" t="s">
        <v>519</v>
      </c>
      <c r="C214">
        <v>41</v>
      </c>
      <c r="D214" t="s">
        <v>608</v>
      </c>
      <c r="E214" t="s">
        <v>632</v>
      </c>
      <c r="F214" t="s">
        <v>626</v>
      </c>
      <c r="G214">
        <v>200</v>
      </c>
    </row>
    <row r="215" spans="1:7" x14ac:dyDescent="0.25">
      <c r="A215" t="s">
        <v>220</v>
      </c>
      <c r="B215" t="s">
        <v>520</v>
      </c>
      <c r="C215">
        <v>54</v>
      </c>
      <c r="D215" t="s">
        <v>632</v>
      </c>
      <c r="E215" t="s">
        <v>614</v>
      </c>
      <c r="F215" t="s">
        <v>619</v>
      </c>
      <c r="G215">
        <v>500</v>
      </c>
    </row>
    <row r="216" spans="1:7" x14ac:dyDescent="0.25">
      <c r="A216" t="s">
        <v>221</v>
      </c>
      <c r="B216" t="s">
        <v>521</v>
      </c>
      <c r="C216">
        <v>5</v>
      </c>
      <c r="D216" t="s">
        <v>607</v>
      </c>
      <c r="E216" t="s">
        <v>614</v>
      </c>
      <c r="F216" t="s">
        <v>619</v>
      </c>
      <c r="G216">
        <v>500</v>
      </c>
    </row>
    <row r="217" spans="1:7" x14ac:dyDescent="0.25">
      <c r="A217" t="s">
        <v>222</v>
      </c>
      <c r="B217" t="s">
        <v>522</v>
      </c>
      <c r="C217">
        <v>32</v>
      </c>
      <c r="D217" t="s">
        <v>608</v>
      </c>
      <c r="E217" t="s">
        <v>610</v>
      </c>
      <c r="F217" t="s">
        <v>619</v>
      </c>
      <c r="G217">
        <v>650</v>
      </c>
    </row>
    <row r="218" spans="1:7" x14ac:dyDescent="0.25">
      <c r="A218" t="s">
        <v>223</v>
      </c>
      <c r="B218" t="s">
        <v>523</v>
      </c>
      <c r="C218">
        <v>64</v>
      </c>
      <c r="D218" t="s">
        <v>607</v>
      </c>
      <c r="E218" t="s">
        <v>609</v>
      </c>
      <c r="F218" t="s">
        <v>632</v>
      </c>
      <c r="G218">
        <v>2</v>
      </c>
    </row>
    <row r="219" spans="1:7" x14ac:dyDescent="0.25">
      <c r="A219" t="s">
        <v>224</v>
      </c>
      <c r="B219" t="s">
        <v>524</v>
      </c>
      <c r="C219">
        <v>75</v>
      </c>
      <c r="D219" t="s">
        <v>608</v>
      </c>
      <c r="E219" t="s">
        <v>613</v>
      </c>
      <c r="F219" t="s">
        <v>623</v>
      </c>
      <c r="G219">
        <v>600</v>
      </c>
    </row>
    <row r="220" spans="1:7" x14ac:dyDescent="0.25">
      <c r="A220" t="s">
        <v>225</v>
      </c>
      <c r="B220" t="s">
        <v>525</v>
      </c>
      <c r="C220">
        <v>43</v>
      </c>
      <c r="D220" t="s">
        <v>607</v>
      </c>
      <c r="E220" t="s">
        <v>612</v>
      </c>
      <c r="F220" t="s">
        <v>626</v>
      </c>
      <c r="G220">
        <v>200</v>
      </c>
    </row>
    <row r="221" spans="1:7" x14ac:dyDescent="0.25">
      <c r="A221" t="s">
        <v>226</v>
      </c>
      <c r="B221" t="s">
        <v>526</v>
      </c>
      <c r="C221">
        <v>27</v>
      </c>
      <c r="D221" t="s">
        <v>608</v>
      </c>
      <c r="E221" t="s">
        <v>611</v>
      </c>
      <c r="F221" t="s">
        <v>620</v>
      </c>
      <c r="G221">
        <v>50</v>
      </c>
    </row>
    <row r="222" spans="1:7" x14ac:dyDescent="0.25">
      <c r="A222" t="s">
        <v>227</v>
      </c>
      <c r="B222" t="s">
        <v>527</v>
      </c>
      <c r="C222">
        <v>35</v>
      </c>
      <c r="D222" t="s">
        <v>608</v>
      </c>
      <c r="E222" t="s">
        <v>609</v>
      </c>
      <c r="F222" t="s">
        <v>617</v>
      </c>
      <c r="G222">
        <v>10</v>
      </c>
    </row>
    <row r="223" spans="1:7" x14ac:dyDescent="0.25">
      <c r="A223" t="s">
        <v>228</v>
      </c>
      <c r="B223" t="s">
        <v>528</v>
      </c>
      <c r="C223">
        <v>76</v>
      </c>
      <c r="D223" t="s">
        <v>607</v>
      </c>
      <c r="E223" t="s">
        <v>614</v>
      </c>
      <c r="F223" t="s">
        <v>619</v>
      </c>
      <c r="G223">
        <v>500</v>
      </c>
    </row>
    <row r="224" spans="1:7" x14ac:dyDescent="0.25">
      <c r="A224" t="s">
        <v>229</v>
      </c>
      <c r="B224" t="s">
        <v>529</v>
      </c>
      <c r="C224">
        <v>43</v>
      </c>
      <c r="D224" t="s">
        <v>607</v>
      </c>
      <c r="E224" t="s">
        <v>614</v>
      </c>
      <c r="F224" t="s">
        <v>619</v>
      </c>
      <c r="G224">
        <v>500</v>
      </c>
    </row>
    <row r="225" spans="1:7" x14ac:dyDescent="0.25">
      <c r="A225" t="s">
        <v>230</v>
      </c>
      <c r="B225" t="s">
        <v>530</v>
      </c>
      <c r="C225">
        <v>20</v>
      </c>
      <c r="D225" t="s">
        <v>608</v>
      </c>
      <c r="E225" t="s">
        <v>613</v>
      </c>
      <c r="F225" t="s">
        <v>623</v>
      </c>
      <c r="G225">
        <v>300</v>
      </c>
    </row>
    <row r="226" spans="1:7" x14ac:dyDescent="0.25">
      <c r="A226" t="s">
        <v>231</v>
      </c>
      <c r="B226" t="s">
        <v>531</v>
      </c>
      <c r="C226">
        <v>37</v>
      </c>
      <c r="D226" t="s">
        <v>608</v>
      </c>
      <c r="E226" t="s">
        <v>613</v>
      </c>
      <c r="F226" t="s">
        <v>623</v>
      </c>
      <c r="G226">
        <v>600</v>
      </c>
    </row>
    <row r="227" spans="1:7" x14ac:dyDescent="0.25">
      <c r="A227" t="s">
        <v>232</v>
      </c>
      <c r="B227" t="s">
        <v>532</v>
      </c>
      <c r="C227">
        <v>11</v>
      </c>
      <c r="D227" t="s">
        <v>607</v>
      </c>
      <c r="E227" t="s">
        <v>612</v>
      </c>
      <c r="F227" t="s">
        <v>627</v>
      </c>
      <c r="G227">
        <v>5</v>
      </c>
    </row>
    <row r="228" spans="1:7" x14ac:dyDescent="0.25">
      <c r="A228" t="s">
        <v>233</v>
      </c>
      <c r="B228" t="s">
        <v>533</v>
      </c>
      <c r="C228">
        <v>65</v>
      </c>
      <c r="D228" t="s">
        <v>607</v>
      </c>
      <c r="E228" t="s">
        <v>612</v>
      </c>
      <c r="F228" t="s">
        <v>626</v>
      </c>
      <c r="G228">
        <v>300</v>
      </c>
    </row>
    <row r="229" spans="1:7" x14ac:dyDescent="0.25">
      <c r="A229" t="s">
        <v>234</v>
      </c>
      <c r="B229" t="s">
        <v>534</v>
      </c>
      <c r="C229">
        <v>43</v>
      </c>
      <c r="D229" t="s">
        <v>607</v>
      </c>
      <c r="E229" t="s">
        <v>611</v>
      </c>
      <c r="F229" t="s">
        <v>621</v>
      </c>
      <c r="G229">
        <v>50</v>
      </c>
    </row>
    <row r="230" spans="1:7" x14ac:dyDescent="0.25">
      <c r="A230" t="s">
        <v>235</v>
      </c>
      <c r="B230" t="s">
        <v>535</v>
      </c>
      <c r="C230">
        <v>41</v>
      </c>
      <c r="D230" t="s">
        <v>607</v>
      </c>
      <c r="E230" t="s">
        <v>615</v>
      </c>
      <c r="F230" t="s">
        <v>618</v>
      </c>
      <c r="G230">
        <v>1000</v>
      </c>
    </row>
    <row r="231" spans="1:7" x14ac:dyDescent="0.25">
      <c r="A231" t="s">
        <v>236</v>
      </c>
      <c r="B231" t="s">
        <v>536</v>
      </c>
      <c r="C231">
        <v>12</v>
      </c>
      <c r="D231" t="s">
        <v>607</v>
      </c>
      <c r="E231" t="s">
        <v>610</v>
      </c>
      <c r="F231" t="s">
        <v>619</v>
      </c>
      <c r="G231">
        <v>650</v>
      </c>
    </row>
    <row r="232" spans="1:7" x14ac:dyDescent="0.25">
      <c r="A232" t="s">
        <v>237</v>
      </c>
      <c r="B232" t="s">
        <v>537</v>
      </c>
      <c r="C232">
        <v>33</v>
      </c>
      <c r="D232" t="s">
        <v>608</v>
      </c>
      <c r="E232" t="s">
        <v>610</v>
      </c>
      <c r="F232" t="s">
        <v>619</v>
      </c>
      <c r="G232">
        <v>650</v>
      </c>
    </row>
    <row r="233" spans="1:7" x14ac:dyDescent="0.25">
      <c r="A233" t="s">
        <v>238</v>
      </c>
      <c r="B233" t="s">
        <v>538</v>
      </c>
      <c r="C233">
        <v>82</v>
      </c>
      <c r="D233" t="s">
        <v>607</v>
      </c>
      <c r="E233" t="s">
        <v>611</v>
      </c>
      <c r="F233" t="s">
        <v>621</v>
      </c>
      <c r="G233">
        <v>50</v>
      </c>
    </row>
    <row r="234" spans="1:7" x14ac:dyDescent="0.25">
      <c r="A234" t="s">
        <v>239</v>
      </c>
      <c r="B234" t="s">
        <v>539</v>
      </c>
      <c r="C234">
        <v>41</v>
      </c>
      <c r="D234" t="s">
        <v>608</v>
      </c>
      <c r="E234" t="s">
        <v>613</v>
      </c>
      <c r="F234" t="s">
        <v>628</v>
      </c>
      <c r="G234">
        <v>300</v>
      </c>
    </row>
    <row r="235" spans="1:7" x14ac:dyDescent="0.25">
      <c r="A235" t="s">
        <v>240</v>
      </c>
      <c r="B235" t="s">
        <v>540</v>
      </c>
      <c r="C235">
        <v>20</v>
      </c>
      <c r="D235" t="s">
        <v>607</v>
      </c>
      <c r="E235" t="s">
        <v>613</v>
      </c>
      <c r="F235" t="s">
        <v>623</v>
      </c>
      <c r="G235">
        <v>600</v>
      </c>
    </row>
    <row r="236" spans="1:7" x14ac:dyDescent="0.25">
      <c r="A236" t="s">
        <v>241</v>
      </c>
      <c r="B236" t="s">
        <v>541</v>
      </c>
      <c r="C236">
        <v>17</v>
      </c>
      <c r="D236" t="s">
        <v>608</v>
      </c>
      <c r="E236" t="s">
        <v>613</v>
      </c>
      <c r="F236" t="s">
        <v>632</v>
      </c>
      <c r="G236">
        <v>600</v>
      </c>
    </row>
    <row r="237" spans="1:7" x14ac:dyDescent="0.25">
      <c r="A237" t="s">
        <v>242</v>
      </c>
      <c r="B237" t="s">
        <v>542</v>
      </c>
      <c r="C237">
        <v>41</v>
      </c>
      <c r="D237" t="s">
        <v>608</v>
      </c>
      <c r="E237" t="s">
        <v>613</v>
      </c>
      <c r="F237" t="s">
        <v>628</v>
      </c>
      <c r="G237">
        <v>300</v>
      </c>
    </row>
    <row r="238" spans="1:7" x14ac:dyDescent="0.25">
      <c r="A238" t="s">
        <v>243</v>
      </c>
      <c r="B238" t="s">
        <v>543</v>
      </c>
      <c r="C238">
        <v>23</v>
      </c>
      <c r="D238" t="s">
        <v>608</v>
      </c>
      <c r="E238" t="s">
        <v>610</v>
      </c>
      <c r="F238" t="s">
        <v>632</v>
      </c>
      <c r="G238">
        <v>300</v>
      </c>
    </row>
    <row r="239" spans="1:7" x14ac:dyDescent="0.25">
      <c r="A239" t="s">
        <v>244</v>
      </c>
      <c r="B239" t="s">
        <v>544</v>
      </c>
      <c r="C239">
        <v>24</v>
      </c>
      <c r="D239" t="s">
        <v>608</v>
      </c>
      <c r="E239" t="s">
        <v>615</v>
      </c>
      <c r="F239" t="s">
        <v>618</v>
      </c>
      <c r="G239">
        <v>1000</v>
      </c>
    </row>
    <row r="240" spans="1:7" x14ac:dyDescent="0.25">
      <c r="A240" t="s">
        <v>245</v>
      </c>
      <c r="B240" t="s">
        <v>545</v>
      </c>
      <c r="C240">
        <v>36</v>
      </c>
      <c r="D240" t="s">
        <v>608</v>
      </c>
      <c r="E240" t="s">
        <v>609</v>
      </c>
      <c r="F240" t="s">
        <v>617</v>
      </c>
      <c r="G240">
        <v>10</v>
      </c>
    </row>
    <row r="241" spans="1:7" x14ac:dyDescent="0.25">
      <c r="A241" t="s">
        <v>246</v>
      </c>
      <c r="B241" t="s">
        <v>546</v>
      </c>
      <c r="C241">
        <v>68</v>
      </c>
      <c r="D241" t="s">
        <v>607</v>
      </c>
      <c r="E241" t="s">
        <v>613</v>
      </c>
      <c r="F241" t="s">
        <v>623</v>
      </c>
      <c r="G241">
        <v>600</v>
      </c>
    </row>
    <row r="242" spans="1:7" x14ac:dyDescent="0.25">
      <c r="A242" t="s">
        <v>247</v>
      </c>
      <c r="B242" t="s">
        <v>547</v>
      </c>
      <c r="C242">
        <v>46</v>
      </c>
      <c r="D242" t="s">
        <v>608</v>
      </c>
      <c r="E242" t="s">
        <v>613</v>
      </c>
      <c r="F242" t="s">
        <v>623</v>
      </c>
      <c r="G242">
        <v>600</v>
      </c>
    </row>
    <row r="243" spans="1:7" x14ac:dyDescent="0.25">
      <c r="A243" t="s">
        <v>248</v>
      </c>
      <c r="B243" t="s">
        <v>548</v>
      </c>
      <c r="C243">
        <v>14</v>
      </c>
      <c r="D243" t="s">
        <v>608</v>
      </c>
      <c r="E243" t="s">
        <v>610</v>
      </c>
      <c r="F243" t="s">
        <v>619</v>
      </c>
      <c r="G243">
        <v>650</v>
      </c>
    </row>
    <row r="244" spans="1:7" x14ac:dyDescent="0.25">
      <c r="A244" t="s">
        <v>249</v>
      </c>
      <c r="B244" t="s">
        <v>549</v>
      </c>
      <c r="C244">
        <v>18</v>
      </c>
      <c r="D244" t="s">
        <v>607</v>
      </c>
      <c r="E244" t="s">
        <v>613</v>
      </c>
      <c r="F244" t="s">
        <v>623</v>
      </c>
      <c r="G244">
        <v>600</v>
      </c>
    </row>
    <row r="245" spans="1:7" x14ac:dyDescent="0.25">
      <c r="A245" t="s">
        <v>250</v>
      </c>
      <c r="B245" t="s">
        <v>550</v>
      </c>
      <c r="C245">
        <v>69</v>
      </c>
      <c r="D245" t="s">
        <v>608</v>
      </c>
      <c r="E245" t="s">
        <v>612</v>
      </c>
      <c r="F245" t="s">
        <v>626</v>
      </c>
      <c r="G245">
        <v>200</v>
      </c>
    </row>
    <row r="246" spans="1:7" x14ac:dyDescent="0.25">
      <c r="A246" t="s">
        <v>251</v>
      </c>
      <c r="B246" t="s">
        <v>551</v>
      </c>
      <c r="C246">
        <v>63</v>
      </c>
      <c r="D246" t="s">
        <v>608</v>
      </c>
      <c r="E246" t="s">
        <v>616</v>
      </c>
      <c r="F246" t="s">
        <v>630</v>
      </c>
      <c r="G246">
        <v>10</v>
      </c>
    </row>
    <row r="247" spans="1:7" x14ac:dyDescent="0.25">
      <c r="A247" t="s">
        <v>252</v>
      </c>
      <c r="B247" t="s">
        <v>552</v>
      </c>
      <c r="C247">
        <v>44</v>
      </c>
      <c r="D247" t="s">
        <v>607</v>
      </c>
      <c r="E247" t="s">
        <v>613</v>
      </c>
      <c r="F247" t="s">
        <v>628</v>
      </c>
      <c r="G247">
        <v>300</v>
      </c>
    </row>
    <row r="248" spans="1:7" x14ac:dyDescent="0.25">
      <c r="A248" t="s">
        <v>253</v>
      </c>
      <c r="B248" t="s">
        <v>553</v>
      </c>
      <c r="C248">
        <v>66</v>
      </c>
      <c r="D248" t="s">
        <v>632</v>
      </c>
      <c r="E248" t="s">
        <v>614</v>
      </c>
      <c r="F248" t="s">
        <v>619</v>
      </c>
      <c r="G248">
        <v>500</v>
      </c>
    </row>
    <row r="249" spans="1:7" x14ac:dyDescent="0.25">
      <c r="A249" t="s">
        <v>254</v>
      </c>
      <c r="B249" t="s">
        <v>554</v>
      </c>
      <c r="C249">
        <v>38</v>
      </c>
      <c r="D249" t="s">
        <v>607</v>
      </c>
      <c r="E249" t="s">
        <v>616</v>
      </c>
      <c r="F249" t="s">
        <v>631</v>
      </c>
      <c r="G249">
        <v>100</v>
      </c>
    </row>
    <row r="250" spans="1:7" x14ac:dyDescent="0.25">
      <c r="A250" t="s">
        <v>255</v>
      </c>
      <c r="B250" t="s">
        <v>555</v>
      </c>
      <c r="C250">
        <v>43</v>
      </c>
      <c r="D250" t="s">
        <v>608</v>
      </c>
      <c r="E250" t="s">
        <v>612</v>
      </c>
      <c r="F250" t="s">
        <v>627</v>
      </c>
      <c r="G250">
        <v>5</v>
      </c>
    </row>
    <row r="251" spans="1:7" x14ac:dyDescent="0.25">
      <c r="A251" t="s">
        <v>256</v>
      </c>
      <c r="B251" t="s">
        <v>556</v>
      </c>
      <c r="C251">
        <v>23</v>
      </c>
      <c r="D251" t="s">
        <v>608</v>
      </c>
      <c r="E251" t="s">
        <v>616</v>
      </c>
      <c r="F251" t="s">
        <v>632</v>
      </c>
      <c r="G251">
        <v>100</v>
      </c>
    </row>
    <row r="252" spans="1:7" x14ac:dyDescent="0.25">
      <c r="A252" t="s">
        <v>257</v>
      </c>
      <c r="B252" t="s">
        <v>557</v>
      </c>
      <c r="C252">
        <v>63</v>
      </c>
      <c r="D252" t="s">
        <v>608</v>
      </c>
      <c r="E252" t="s">
        <v>615</v>
      </c>
      <c r="F252" t="s">
        <v>622</v>
      </c>
      <c r="G252">
        <v>500</v>
      </c>
    </row>
    <row r="253" spans="1:7" x14ac:dyDescent="0.25">
      <c r="A253" t="s">
        <v>258</v>
      </c>
      <c r="B253" t="s">
        <v>558</v>
      </c>
      <c r="C253">
        <v>23</v>
      </c>
      <c r="D253" t="s">
        <v>608</v>
      </c>
      <c r="E253" t="s">
        <v>614</v>
      </c>
      <c r="F253" t="s">
        <v>619</v>
      </c>
      <c r="G253">
        <v>500</v>
      </c>
    </row>
    <row r="254" spans="1:7" x14ac:dyDescent="0.25">
      <c r="A254" t="s">
        <v>259</v>
      </c>
      <c r="B254" t="s">
        <v>559</v>
      </c>
      <c r="C254">
        <v>52</v>
      </c>
      <c r="D254" t="s">
        <v>607</v>
      </c>
      <c r="E254" t="s">
        <v>611</v>
      </c>
      <c r="F254" t="s">
        <v>620</v>
      </c>
      <c r="G254">
        <v>50</v>
      </c>
    </row>
    <row r="255" spans="1:7" x14ac:dyDescent="0.25">
      <c r="A255" t="s">
        <v>260</v>
      </c>
      <c r="B255" t="s">
        <v>560</v>
      </c>
      <c r="C255">
        <v>32</v>
      </c>
      <c r="D255" t="s">
        <v>608</v>
      </c>
      <c r="E255" t="s">
        <v>616</v>
      </c>
      <c r="F255" t="s">
        <v>630</v>
      </c>
      <c r="G255">
        <v>10</v>
      </c>
    </row>
    <row r="256" spans="1:7" x14ac:dyDescent="0.25">
      <c r="A256" t="s">
        <v>261</v>
      </c>
      <c r="B256" t="s">
        <v>561</v>
      </c>
      <c r="C256">
        <v>30</v>
      </c>
      <c r="D256" t="s">
        <v>632</v>
      </c>
      <c r="E256" t="s">
        <v>614</v>
      </c>
      <c r="F256" t="s">
        <v>619</v>
      </c>
      <c r="G256">
        <v>500</v>
      </c>
    </row>
    <row r="257" spans="1:7" x14ac:dyDescent="0.25">
      <c r="A257" t="s">
        <v>262</v>
      </c>
      <c r="B257" t="s">
        <v>562</v>
      </c>
      <c r="C257">
        <v>43</v>
      </c>
      <c r="D257" t="s">
        <v>608</v>
      </c>
      <c r="E257" t="s">
        <v>612</v>
      </c>
      <c r="F257" t="s">
        <v>627</v>
      </c>
      <c r="G257">
        <v>5</v>
      </c>
    </row>
    <row r="258" spans="1:7" x14ac:dyDescent="0.25">
      <c r="A258" t="s">
        <v>263</v>
      </c>
      <c r="B258" t="s">
        <v>563</v>
      </c>
      <c r="C258">
        <v>36</v>
      </c>
      <c r="D258" t="s">
        <v>608</v>
      </c>
      <c r="E258" t="s">
        <v>609</v>
      </c>
      <c r="F258" t="s">
        <v>629</v>
      </c>
      <c r="G258">
        <v>2</v>
      </c>
    </row>
    <row r="259" spans="1:7" x14ac:dyDescent="0.25">
      <c r="A259" t="s">
        <v>264</v>
      </c>
      <c r="B259" t="s">
        <v>564</v>
      </c>
      <c r="C259">
        <v>17</v>
      </c>
      <c r="D259" t="s">
        <v>608</v>
      </c>
      <c r="E259" t="s">
        <v>613</v>
      </c>
      <c r="F259" t="s">
        <v>628</v>
      </c>
      <c r="G259">
        <v>300</v>
      </c>
    </row>
    <row r="260" spans="1:7" x14ac:dyDescent="0.25">
      <c r="A260" t="s">
        <v>265</v>
      </c>
      <c r="B260" t="s">
        <v>565</v>
      </c>
      <c r="C260">
        <v>50</v>
      </c>
      <c r="D260" t="s">
        <v>608</v>
      </c>
      <c r="E260" t="s">
        <v>614</v>
      </c>
      <c r="F260" t="s">
        <v>619</v>
      </c>
      <c r="G260">
        <v>500</v>
      </c>
    </row>
    <row r="261" spans="1:7" x14ac:dyDescent="0.25">
      <c r="A261" t="s">
        <v>266</v>
      </c>
      <c r="B261" t="s">
        <v>566</v>
      </c>
      <c r="C261">
        <v>43</v>
      </c>
      <c r="D261" t="s">
        <v>607</v>
      </c>
      <c r="E261" t="s">
        <v>615</v>
      </c>
      <c r="F261" t="s">
        <v>618</v>
      </c>
      <c r="G261">
        <v>1000</v>
      </c>
    </row>
    <row r="262" spans="1:7" x14ac:dyDescent="0.25">
      <c r="A262" t="s">
        <v>267</v>
      </c>
      <c r="B262" t="s">
        <v>567</v>
      </c>
      <c r="C262">
        <v>72</v>
      </c>
      <c r="D262" t="s">
        <v>607</v>
      </c>
      <c r="E262" t="s">
        <v>611</v>
      </c>
      <c r="F262" t="s">
        <v>625</v>
      </c>
      <c r="G262">
        <v>5</v>
      </c>
    </row>
    <row r="263" spans="1:7" x14ac:dyDescent="0.25">
      <c r="A263" t="s">
        <v>268</v>
      </c>
      <c r="B263" t="s">
        <v>568</v>
      </c>
      <c r="C263">
        <v>43</v>
      </c>
      <c r="D263" t="s">
        <v>607</v>
      </c>
      <c r="E263" t="s">
        <v>611</v>
      </c>
      <c r="F263" t="s">
        <v>621</v>
      </c>
      <c r="G263">
        <v>50</v>
      </c>
    </row>
    <row r="264" spans="1:7" x14ac:dyDescent="0.25">
      <c r="A264" t="s">
        <v>269</v>
      </c>
      <c r="B264" t="s">
        <v>569</v>
      </c>
      <c r="C264">
        <v>80</v>
      </c>
      <c r="D264" t="s">
        <v>607</v>
      </c>
      <c r="E264" t="s">
        <v>612</v>
      </c>
      <c r="F264" t="s">
        <v>626</v>
      </c>
      <c r="G264">
        <v>200</v>
      </c>
    </row>
    <row r="265" spans="1:7" x14ac:dyDescent="0.25">
      <c r="A265" t="s">
        <v>270</v>
      </c>
      <c r="B265" t="s">
        <v>570</v>
      </c>
      <c r="C265">
        <v>79</v>
      </c>
      <c r="D265" t="s">
        <v>632</v>
      </c>
      <c r="E265" t="s">
        <v>609</v>
      </c>
      <c r="F265" t="s">
        <v>617</v>
      </c>
      <c r="G265">
        <v>10</v>
      </c>
    </row>
    <row r="266" spans="1:7" x14ac:dyDescent="0.25">
      <c r="A266" t="s">
        <v>271</v>
      </c>
      <c r="B266" t="s">
        <v>571</v>
      </c>
      <c r="C266">
        <v>42</v>
      </c>
      <c r="D266" t="s">
        <v>607</v>
      </c>
      <c r="E266" t="s">
        <v>613</v>
      </c>
      <c r="F266" t="s">
        <v>623</v>
      </c>
      <c r="G266">
        <v>600</v>
      </c>
    </row>
    <row r="267" spans="1:7" x14ac:dyDescent="0.25">
      <c r="A267" t="s">
        <v>272</v>
      </c>
      <c r="B267" t="s">
        <v>572</v>
      </c>
      <c r="C267">
        <v>41</v>
      </c>
      <c r="D267" t="s">
        <v>607</v>
      </c>
      <c r="E267" t="s">
        <v>613</v>
      </c>
      <c r="F267" t="s">
        <v>628</v>
      </c>
      <c r="G267">
        <v>300</v>
      </c>
    </row>
    <row r="268" spans="1:7" x14ac:dyDescent="0.25">
      <c r="A268" t="s">
        <v>273</v>
      </c>
      <c r="B268" t="s">
        <v>573</v>
      </c>
      <c r="C268">
        <v>30</v>
      </c>
      <c r="D268" t="s">
        <v>608</v>
      </c>
      <c r="E268" t="s">
        <v>616</v>
      </c>
      <c r="F268" t="s">
        <v>630</v>
      </c>
      <c r="G268">
        <v>10</v>
      </c>
    </row>
    <row r="269" spans="1:7" x14ac:dyDescent="0.25">
      <c r="A269" t="s">
        <v>274</v>
      </c>
      <c r="B269" t="s">
        <v>574</v>
      </c>
      <c r="C269">
        <v>42</v>
      </c>
      <c r="D269" t="s">
        <v>608</v>
      </c>
      <c r="E269" t="s">
        <v>614</v>
      </c>
      <c r="F269" t="s">
        <v>619</v>
      </c>
      <c r="G269">
        <v>500</v>
      </c>
    </row>
    <row r="270" spans="1:7" x14ac:dyDescent="0.25">
      <c r="A270" t="s">
        <v>275</v>
      </c>
      <c r="B270" t="s">
        <v>575</v>
      </c>
      <c r="C270">
        <v>55</v>
      </c>
      <c r="D270" t="s">
        <v>607</v>
      </c>
      <c r="E270" t="s">
        <v>615</v>
      </c>
      <c r="F270" t="s">
        <v>618</v>
      </c>
      <c r="G270">
        <v>1000</v>
      </c>
    </row>
    <row r="271" spans="1:7" x14ac:dyDescent="0.25">
      <c r="A271" t="s">
        <v>276</v>
      </c>
      <c r="B271" t="s">
        <v>576</v>
      </c>
      <c r="C271">
        <v>9</v>
      </c>
      <c r="D271" t="s">
        <v>607</v>
      </c>
      <c r="E271" t="s">
        <v>615</v>
      </c>
      <c r="F271" t="s">
        <v>618</v>
      </c>
      <c r="G271">
        <v>1000</v>
      </c>
    </row>
    <row r="272" spans="1:7" x14ac:dyDescent="0.25">
      <c r="A272" t="s">
        <v>277</v>
      </c>
      <c r="B272" t="s">
        <v>577</v>
      </c>
      <c r="C272">
        <v>21</v>
      </c>
      <c r="D272" t="s">
        <v>608</v>
      </c>
      <c r="E272" t="s">
        <v>613</v>
      </c>
      <c r="F272" t="s">
        <v>623</v>
      </c>
      <c r="G272">
        <v>600</v>
      </c>
    </row>
    <row r="273" spans="1:7" x14ac:dyDescent="0.25">
      <c r="A273" t="s">
        <v>278</v>
      </c>
      <c r="B273" t="s">
        <v>578</v>
      </c>
      <c r="C273">
        <v>69</v>
      </c>
      <c r="D273" t="s">
        <v>608</v>
      </c>
      <c r="E273" t="s">
        <v>610</v>
      </c>
      <c r="F273" t="s">
        <v>619</v>
      </c>
      <c r="G273">
        <v>650</v>
      </c>
    </row>
    <row r="274" spans="1:7" x14ac:dyDescent="0.25">
      <c r="A274" t="s">
        <v>279</v>
      </c>
      <c r="B274" t="s">
        <v>579</v>
      </c>
      <c r="C274">
        <v>70</v>
      </c>
      <c r="D274" t="s">
        <v>607</v>
      </c>
      <c r="E274" t="s">
        <v>609</v>
      </c>
      <c r="F274" t="s">
        <v>624</v>
      </c>
      <c r="G274">
        <v>500</v>
      </c>
    </row>
    <row r="275" spans="1:7" x14ac:dyDescent="0.25">
      <c r="A275" t="s">
        <v>280</v>
      </c>
      <c r="B275" t="s">
        <v>580</v>
      </c>
      <c r="C275">
        <v>67</v>
      </c>
      <c r="D275" t="s">
        <v>607</v>
      </c>
      <c r="E275" t="s">
        <v>612</v>
      </c>
      <c r="F275" t="s">
        <v>627</v>
      </c>
      <c r="G275">
        <v>5</v>
      </c>
    </row>
    <row r="276" spans="1:7" x14ac:dyDescent="0.25">
      <c r="A276" t="s">
        <v>281</v>
      </c>
      <c r="B276" t="s">
        <v>581</v>
      </c>
      <c r="C276">
        <v>44</v>
      </c>
      <c r="D276" t="s">
        <v>608</v>
      </c>
      <c r="E276" t="s">
        <v>614</v>
      </c>
      <c r="F276" t="s">
        <v>619</v>
      </c>
      <c r="G276">
        <v>500</v>
      </c>
    </row>
    <row r="277" spans="1:7" x14ac:dyDescent="0.25">
      <c r="A277" t="s">
        <v>282</v>
      </c>
      <c r="B277" t="s">
        <v>582</v>
      </c>
      <c r="C277">
        <v>48</v>
      </c>
      <c r="D277" t="s">
        <v>607</v>
      </c>
      <c r="E277" t="s">
        <v>616</v>
      </c>
      <c r="F277" t="s">
        <v>630</v>
      </c>
      <c r="G277">
        <v>10</v>
      </c>
    </row>
    <row r="278" spans="1:7" x14ac:dyDescent="0.25">
      <c r="A278" t="s">
        <v>283</v>
      </c>
      <c r="B278" t="s">
        <v>583</v>
      </c>
      <c r="C278">
        <v>17</v>
      </c>
      <c r="D278" t="s">
        <v>607</v>
      </c>
      <c r="E278" t="s">
        <v>610</v>
      </c>
      <c r="F278" t="s">
        <v>619</v>
      </c>
      <c r="G278">
        <v>650</v>
      </c>
    </row>
    <row r="279" spans="1:7" x14ac:dyDescent="0.25">
      <c r="A279" t="s">
        <v>284</v>
      </c>
      <c r="B279" t="s">
        <v>584</v>
      </c>
      <c r="C279">
        <v>16</v>
      </c>
      <c r="D279" t="s">
        <v>607</v>
      </c>
      <c r="E279" t="s">
        <v>610</v>
      </c>
      <c r="F279" t="s">
        <v>619</v>
      </c>
      <c r="G279">
        <v>650</v>
      </c>
    </row>
    <row r="280" spans="1:7" x14ac:dyDescent="0.25">
      <c r="A280" t="s">
        <v>285</v>
      </c>
      <c r="B280" t="s">
        <v>585</v>
      </c>
      <c r="C280">
        <v>38</v>
      </c>
      <c r="D280" t="s">
        <v>607</v>
      </c>
      <c r="E280" t="s">
        <v>611</v>
      </c>
      <c r="F280" t="s">
        <v>632</v>
      </c>
      <c r="G280">
        <v>5</v>
      </c>
    </row>
    <row r="281" spans="1:7" x14ac:dyDescent="0.25">
      <c r="A281" t="s">
        <v>286</v>
      </c>
      <c r="B281" t="s">
        <v>586</v>
      </c>
      <c r="C281">
        <v>27</v>
      </c>
      <c r="D281" t="s">
        <v>608</v>
      </c>
      <c r="E281" t="s">
        <v>610</v>
      </c>
      <c r="F281" t="s">
        <v>619</v>
      </c>
      <c r="G281">
        <v>650</v>
      </c>
    </row>
    <row r="282" spans="1:7" x14ac:dyDescent="0.25">
      <c r="A282" t="s">
        <v>287</v>
      </c>
      <c r="B282" t="s">
        <v>587</v>
      </c>
      <c r="C282">
        <v>43</v>
      </c>
      <c r="D282" t="s">
        <v>607</v>
      </c>
      <c r="E282" t="s">
        <v>616</v>
      </c>
      <c r="F282" t="s">
        <v>630</v>
      </c>
      <c r="G282">
        <v>10</v>
      </c>
    </row>
    <row r="283" spans="1:7" x14ac:dyDescent="0.25">
      <c r="A283" t="s">
        <v>288</v>
      </c>
      <c r="B283" t="s">
        <v>588</v>
      </c>
      <c r="C283">
        <v>32</v>
      </c>
      <c r="D283" t="s">
        <v>607</v>
      </c>
      <c r="E283" t="s">
        <v>614</v>
      </c>
      <c r="F283" t="s">
        <v>619</v>
      </c>
      <c r="G283">
        <v>500</v>
      </c>
    </row>
    <row r="284" spans="1:7" x14ac:dyDescent="0.25">
      <c r="A284" t="s">
        <v>289</v>
      </c>
      <c r="B284" t="s">
        <v>589</v>
      </c>
      <c r="C284">
        <v>55</v>
      </c>
      <c r="D284" t="s">
        <v>607</v>
      </c>
      <c r="E284" t="s">
        <v>610</v>
      </c>
      <c r="F284" t="s">
        <v>619</v>
      </c>
      <c r="G284">
        <v>650</v>
      </c>
    </row>
    <row r="285" spans="1:7" x14ac:dyDescent="0.25">
      <c r="A285" t="s">
        <v>290</v>
      </c>
      <c r="B285" t="s">
        <v>590</v>
      </c>
      <c r="C285">
        <v>36</v>
      </c>
      <c r="D285" t="s">
        <v>607</v>
      </c>
      <c r="E285" t="s">
        <v>611</v>
      </c>
      <c r="F285" t="s">
        <v>620</v>
      </c>
      <c r="G285">
        <v>50</v>
      </c>
    </row>
    <row r="286" spans="1:7" x14ac:dyDescent="0.25">
      <c r="A286" t="s">
        <v>291</v>
      </c>
      <c r="B286" t="s">
        <v>591</v>
      </c>
      <c r="C286">
        <v>31</v>
      </c>
      <c r="D286" t="s">
        <v>607</v>
      </c>
      <c r="E286" t="s">
        <v>612</v>
      </c>
      <c r="F286" t="s">
        <v>627</v>
      </c>
      <c r="G286">
        <v>5</v>
      </c>
    </row>
    <row r="287" spans="1:7" x14ac:dyDescent="0.25">
      <c r="A287" t="s">
        <v>292</v>
      </c>
      <c r="B287" t="s">
        <v>592</v>
      </c>
      <c r="C287">
        <v>29</v>
      </c>
      <c r="D287" t="s">
        <v>608</v>
      </c>
      <c r="E287" t="s">
        <v>610</v>
      </c>
      <c r="F287" t="s">
        <v>619</v>
      </c>
      <c r="G287">
        <v>650</v>
      </c>
    </row>
    <row r="288" spans="1:7" x14ac:dyDescent="0.25">
      <c r="A288" t="s">
        <v>293</v>
      </c>
      <c r="B288" t="s">
        <v>593</v>
      </c>
      <c r="C288">
        <v>8</v>
      </c>
      <c r="D288" t="s">
        <v>608</v>
      </c>
      <c r="E288" t="s">
        <v>613</v>
      </c>
      <c r="F288" t="s">
        <v>623</v>
      </c>
      <c r="G288">
        <v>600</v>
      </c>
    </row>
    <row r="289" spans="1:7" x14ac:dyDescent="0.25">
      <c r="A289" t="s">
        <v>294</v>
      </c>
      <c r="B289" t="s">
        <v>594</v>
      </c>
      <c r="C289">
        <v>37</v>
      </c>
      <c r="D289" t="s">
        <v>607</v>
      </c>
      <c r="E289" t="s">
        <v>615</v>
      </c>
      <c r="F289" t="s">
        <v>622</v>
      </c>
      <c r="G289">
        <v>300</v>
      </c>
    </row>
    <row r="290" spans="1:7" x14ac:dyDescent="0.25">
      <c r="A290" t="s">
        <v>295</v>
      </c>
      <c r="B290" t="s">
        <v>595</v>
      </c>
      <c r="C290">
        <v>39</v>
      </c>
      <c r="D290" t="s">
        <v>608</v>
      </c>
      <c r="E290" t="s">
        <v>612</v>
      </c>
      <c r="F290" t="s">
        <v>626</v>
      </c>
      <c r="G290">
        <v>200</v>
      </c>
    </row>
    <row r="291" spans="1:7" x14ac:dyDescent="0.25">
      <c r="A291" t="s">
        <v>296</v>
      </c>
      <c r="B291" t="s">
        <v>596</v>
      </c>
      <c r="C291">
        <v>43</v>
      </c>
      <c r="D291" t="s">
        <v>607</v>
      </c>
      <c r="E291" t="s">
        <v>613</v>
      </c>
      <c r="F291" t="s">
        <v>628</v>
      </c>
      <c r="G291">
        <v>300</v>
      </c>
    </row>
    <row r="292" spans="1:7" x14ac:dyDescent="0.25">
      <c r="A292" t="s">
        <v>297</v>
      </c>
      <c r="B292" t="s">
        <v>597</v>
      </c>
      <c r="C292">
        <v>79</v>
      </c>
      <c r="D292" t="s">
        <v>608</v>
      </c>
      <c r="E292" t="s">
        <v>614</v>
      </c>
      <c r="F292" t="s">
        <v>619</v>
      </c>
      <c r="G292">
        <v>500</v>
      </c>
    </row>
    <row r="293" spans="1:7" x14ac:dyDescent="0.25">
      <c r="A293" t="s">
        <v>298</v>
      </c>
      <c r="B293" t="s">
        <v>598</v>
      </c>
      <c r="C293">
        <v>50</v>
      </c>
      <c r="D293" t="s">
        <v>607</v>
      </c>
      <c r="E293" t="s">
        <v>611</v>
      </c>
      <c r="F293" t="s">
        <v>625</v>
      </c>
      <c r="G293">
        <v>5</v>
      </c>
    </row>
    <row r="294" spans="1:7" x14ac:dyDescent="0.25">
      <c r="A294" t="s">
        <v>299</v>
      </c>
      <c r="B294" t="s">
        <v>599</v>
      </c>
      <c r="C294">
        <v>43</v>
      </c>
      <c r="D294" t="s">
        <v>608</v>
      </c>
      <c r="E294" t="s">
        <v>612</v>
      </c>
      <c r="F294" t="s">
        <v>627</v>
      </c>
      <c r="G294">
        <v>5</v>
      </c>
    </row>
    <row r="295" spans="1:7" x14ac:dyDescent="0.25">
      <c r="A295" t="s">
        <v>300</v>
      </c>
      <c r="B295" t="s">
        <v>600</v>
      </c>
      <c r="C295">
        <v>32</v>
      </c>
      <c r="D295" t="s">
        <v>608</v>
      </c>
      <c r="E295" t="s">
        <v>615</v>
      </c>
      <c r="F295" t="s">
        <v>622</v>
      </c>
      <c r="G295">
        <v>500</v>
      </c>
    </row>
    <row r="296" spans="1:7" x14ac:dyDescent="0.25">
      <c r="A296" t="s">
        <v>301</v>
      </c>
      <c r="B296" t="s">
        <v>601</v>
      </c>
      <c r="C296">
        <v>43</v>
      </c>
      <c r="D296" t="s">
        <v>607</v>
      </c>
      <c r="E296" t="s">
        <v>609</v>
      </c>
      <c r="F296" t="s">
        <v>632</v>
      </c>
      <c r="G296">
        <v>10</v>
      </c>
    </row>
    <row r="297" spans="1:7" x14ac:dyDescent="0.25">
      <c r="A297" t="s">
        <v>302</v>
      </c>
      <c r="B297" t="s">
        <v>602</v>
      </c>
      <c r="C297">
        <v>28</v>
      </c>
      <c r="D297" t="s">
        <v>607</v>
      </c>
      <c r="E297" t="s">
        <v>613</v>
      </c>
      <c r="F297" t="s">
        <v>628</v>
      </c>
      <c r="G297">
        <v>300</v>
      </c>
    </row>
    <row r="298" spans="1:7" x14ac:dyDescent="0.25">
      <c r="A298" t="s">
        <v>303</v>
      </c>
      <c r="B298" t="s">
        <v>603</v>
      </c>
      <c r="C298">
        <v>35</v>
      </c>
      <c r="D298" t="s">
        <v>607</v>
      </c>
      <c r="E298" t="s">
        <v>632</v>
      </c>
      <c r="F298" t="s">
        <v>627</v>
      </c>
      <c r="G298">
        <v>5</v>
      </c>
    </row>
    <row r="299" spans="1:7" x14ac:dyDescent="0.25">
      <c r="A299" t="s">
        <v>304</v>
      </c>
      <c r="B299" t="s">
        <v>604</v>
      </c>
      <c r="C299">
        <v>32</v>
      </c>
      <c r="D299" t="s">
        <v>608</v>
      </c>
      <c r="E299" t="s">
        <v>614</v>
      </c>
      <c r="F299" t="s">
        <v>619</v>
      </c>
      <c r="G299">
        <v>500</v>
      </c>
    </row>
    <row r="300" spans="1:7" x14ac:dyDescent="0.25">
      <c r="A300" t="s">
        <v>305</v>
      </c>
      <c r="B300" t="s">
        <v>605</v>
      </c>
      <c r="C300">
        <v>82</v>
      </c>
      <c r="D300" t="s">
        <v>608</v>
      </c>
      <c r="E300" t="s">
        <v>611</v>
      </c>
      <c r="F300" t="s">
        <v>621</v>
      </c>
      <c r="G300">
        <v>50</v>
      </c>
    </row>
    <row r="301" spans="1:7" x14ac:dyDescent="0.25">
      <c r="A301" t="s">
        <v>306</v>
      </c>
      <c r="B301" t="s">
        <v>606</v>
      </c>
      <c r="C301">
        <v>20</v>
      </c>
      <c r="D301" t="s">
        <v>608</v>
      </c>
      <c r="E301" t="s">
        <v>615</v>
      </c>
      <c r="F301" t="s">
        <v>618</v>
      </c>
      <c r="G301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Charts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S0122410</cp:lastModifiedBy>
  <dcterms:created xsi:type="dcterms:W3CDTF">2026-10-08T13:15:16Z</dcterms:created>
  <dcterms:modified xsi:type="dcterms:W3CDTF">2026-10-09T05:21:45Z</dcterms:modified>
</cp:coreProperties>
</file>